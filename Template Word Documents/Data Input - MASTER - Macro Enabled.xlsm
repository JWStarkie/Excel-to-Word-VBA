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c268249\Box Sync\FSP Project\Farm Data\"/>
    </mc:Choice>
  </mc:AlternateContent>
  <bookViews>
    <workbookView xWindow="0" yWindow="0" windowWidth="19092" windowHeight="8844" tabRatio="611"/>
  </bookViews>
  <sheets>
    <sheet name="Input" sheetId="1" r:id="rId1"/>
    <sheet name="Calculations" sheetId="3" r:id="rId2"/>
  </sheets>
  <functionGroups builtInGroupCount="18"/>
  <definedNames>
    <definedName name="Date">Input!#REF!</definedName>
    <definedName name="ElancoRep">Input!#REF!</definedName>
    <definedName name="Examiner">Input!#REF!</definedName>
    <definedName name="FarmNameRef">Input!#REF!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98" i="3" l="1"/>
  <c r="H98" i="3"/>
  <c r="N97" i="3"/>
  <c r="H97" i="3"/>
  <c r="N96" i="3"/>
  <c r="H96" i="3"/>
  <c r="N95" i="3"/>
  <c r="H95" i="3"/>
  <c r="N94" i="3"/>
  <c r="H94" i="3"/>
  <c r="N93" i="3"/>
  <c r="H93" i="3"/>
  <c r="N92" i="3"/>
  <c r="H92" i="3"/>
  <c r="N91" i="3"/>
  <c r="H91" i="3"/>
  <c r="H90" i="3"/>
  <c r="N89" i="3"/>
  <c r="H89" i="3"/>
  <c r="N88" i="3"/>
  <c r="H88" i="3"/>
  <c r="N87" i="3"/>
  <c r="H87" i="3"/>
  <c r="H86" i="3"/>
  <c r="N85" i="3"/>
  <c r="H85" i="3"/>
  <c r="N84" i="3"/>
  <c r="H84" i="3"/>
  <c r="H83" i="3"/>
  <c r="N82" i="3"/>
  <c r="H82" i="3"/>
  <c r="N81" i="3"/>
  <c r="H81" i="3"/>
  <c r="N80" i="3"/>
  <c r="H80" i="3"/>
  <c r="H79" i="3"/>
  <c r="H78" i="3"/>
  <c r="H77" i="3"/>
  <c r="H76" i="3"/>
  <c r="O75" i="3"/>
  <c r="N75" i="3"/>
  <c r="H75" i="3"/>
  <c r="N74" i="3"/>
  <c r="H74" i="3"/>
  <c r="H73" i="3"/>
  <c r="H72" i="3"/>
  <c r="H71" i="3"/>
  <c r="N70" i="3"/>
  <c r="H70" i="3"/>
  <c r="H69" i="3"/>
  <c r="H68" i="3"/>
  <c r="N67" i="3"/>
  <c r="H67" i="3"/>
  <c r="H66" i="3"/>
  <c r="N65" i="3"/>
  <c r="H65" i="3"/>
  <c r="N64" i="3"/>
  <c r="H64" i="3"/>
  <c r="N63" i="3"/>
  <c r="H63" i="3"/>
  <c r="N62" i="3"/>
  <c r="H62" i="3"/>
  <c r="N61" i="3"/>
  <c r="H61" i="3"/>
  <c r="N60" i="3"/>
  <c r="H60" i="3"/>
  <c r="H59" i="3"/>
  <c r="H58" i="3"/>
  <c r="N57" i="3"/>
  <c r="H57" i="3"/>
  <c r="N56" i="3"/>
  <c r="H56" i="3"/>
  <c r="N55" i="3"/>
  <c r="H55" i="3"/>
  <c r="N54" i="3"/>
  <c r="H54" i="3"/>
  <c r="N53" i="3"/>
  <c r="H53" i="3"/>
  <c r="N52" i="3"/>
  <c r="H52" i="3"/>
  <c r="N51" i="3"/>
  <c r="H51" i="3"/>
  <c r="N50" i="3"/>
  <c r="H50" i="3"/>
  <c r="N49" i="3"/>
  <c r="H49" i="3"/>
  <c r="H48" i="3"/>
  <c r="N47" i="3"/>
  <c r="H47" i="3"/>
  <c r="H46" i="3"/>
  <c r="H45" i="3"/>
  <c r="N44" i="3"/>
  <c r="H44" i="3"/>
  <c r="H43" i="3"/>
  <c r="H42" i="3"/>
  <c r="H41" i="3"/>
  <c r="N40" i="3"/>
  <c r="H40" i="3"/>
  <c r="H39" i="3"/>
  <c r="H38" i="3"/>
  <c r="H37" i="3"/>
  <c r="H36" i="3"/>
  <c r="H35" i="3"/>
  <c r="N34" i="3"/>
  <c r="H34" i="3"/>
  <c r="N33" i="3"/>
  <c r="H33" i="3"/>
  <c r="N32" i="3"/>
  <c r="H32" i="3"/>
  <c r="N31" i="3"/>
  <c r="H31" i="3"/>
  <c r="N30"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H1" i="3" l="1"/>
  <c r="I71" i="3"/>
  <c r="K71" i="3" s="1"/>
  <c r="I93" i="3"/>
  <c r="K93" i="3" s="1"/>
  <c r="I17" i="3"/>
  <c r="K17" i="3" s="1"/>
  <c r="I87" i="3"/>
  <c r="K87" i="3" s="1"/>
  <c r="I28" i="3"/>
  <c r="K28" i="3" s="1"/>
  <c r="I59" i="3"/>
  <c r="K59" i="3" s="1"/>
  <c r="I3" i="3"/>
  <c r="K3" i="3" s="1"/>
</calcChain>
</file>

<file path=xl/sharedStrings.xml><?xml version="1.0" encoding="utf-8"?>
<sst xmlns="http://schemas.openxmlformats.org/spreadsheetml/2006/main" count="563" uniqueCount="457">
  <si>
    <t>Submission Date</t>
  </si>
  <si>
    <t>Assessor...</t>
  </si>
  <si>
    <t>Assessment Date...</t>
  </si>
  <si>
    <t>Farm Name &amp; Ref</t>
  </si>
  <si>
    <t>Examiner</t>
  </si>
  <si>
    <t>Elanco Representative (if present)</t>
  </si>
  <si>
    <t>Management System</t>
  </si>
  <si>
    <t>Perception of farm</t>
  </si>
  <si>
    <t>Number of houses</t>
  </si>
  <si>
    <t>Number of birds</t>
  </si>
  <si>
    <t>Number of staff</t>
  </si>
  <si>
    <t>Shed age</t>
  </si>
  <si>
    <t>Age of birds at time of risk assessment</t>
  </si>
  <si>
    <t>1] Are birds supplied only from a salmonella free/single origin</t>
  </si>
  <si>
    <t>2] Distance to other infection sources (farms, biogas, landfill etc.)</t>
  </si>
  <si>
    <t>3] Wild birds in proximity to houses</t>
  </si>
  <si>
    <t>4] Other livestock on farm or residence of staff</t>
  </si>
  <si>
    <t>5] Are farm staff monitored for specific zoonotic diseases</t>
  </si>
  <si>
    <t>6] Is the visitor book completed</t>
  </si>
  <si>
    <t>7] Compliance of contract workers to specific/general zones separation, house, specific boots/overalls</t>
  </si>
  <si>
    <t>8] Recording and documentation of Salmonella free reports from suppliers (e.g. feed mil, hatchery)</t>
  </si>
  <si>
    <t>9] Control and passport documentation of Salmonella vaccination of the pullets</t>
  </si>
  <si>
    <t>10] Vehicle visitation register up to date, biosecurity measures adhered to and if corrective is required, are actions recorded?</t>
  </si>
  <si>
    <t>11] Is the fencing of the poultry site on farm secure</t>
  </si>
  <si>
    <t>12] Supply lab reports and official documentation of Salmonella free DOC's from breeder hatchery or pullets from farm</t>
  </si>
  <si>
    <t>13] Are the DOC/Pullets checked upon arrival with a clear protocol and sanctions in place if Salmonella is identified?</t>
  </si>
  <si>
    <t>14] What is the frequency of Salmonella testing?</t>
  </si>
  <si>
    <t>Total Score</t>
  </si>
  <si>
    <t>Free Range</t>
  </si>
  <si>
    <t>1] What is the distance between poultry houses? (Single house = &gt;20m)</t>
  </si>
  <si>
    <t>2] What is the tidiness of the area/vegetation within 10m of poultry house environment</t>
  </si>
  <si>
    <t>3] Are roads and ways hard standing and in good repair at the farm</t>
  </si>
  <si>
    <t>4] Carcass storage (Distance to poultry house, at the border of the farm, locked concrete surface, chilled storage</t>
  </si>
  <si>
    <t>5] Regular emptying of the carcass container followed by cleaning and disinfection (inside and out)</t>
  </si>
  <si>
    <t>6] Storage of manure (poultry and other livestock species)</t>
  </si>
  <si>
    <t>7] Purchase of certified/sterile litter</t>
  </si>
  <si>
    <t>8] Storage of litter at the farm</t>
  </si>
  <si>
    <t>9] Tidiness of the silo/feed storage area</t>
  </si>
  <si>
    <t>10] Cleaning of the silo inside/the feed storage</t>
  </si>
  <si>
    <t>11] Disinfection of the silo inside/the feed storage</t>
  </si>
  <si>
    <t>1] Conditions of poultry house</t>
  </si>
  <si>
    <t>2] Free range/Scratching area/Winter garden</t>
  </si>
  <si>
    <t>3] Compliance to stocking rate outside (run) according to legal requirements - documentation to support?</t>
  </si>
  <si>
    <t>4] Is access to the range / run through the house or can it be accessed from out side</t>
  </si>
  <si>
    <t>5] Is the range / run treated with Lime? (Several times a year / when thought necessary / none)</t>
  </si>
  <si>
    <t>6] Do the birds range well - even use of the range / run by the birds</t>
  </si>
  <si>
    <t>7] Is the area of the run adjacent to the shed concreted / rolled stone or unsurfaced</t>
  </si>
  <si>
    <t>8] Does the litter (Barn/Cage) or substrate outside the popholes (Free Range) get changed?</t>
  </si>
  <si>
    <t>9] Are there drinkers outside?</t>
  </si>
  <si>
    <t>10] Are there feeders outside?</t>
  </si>
  <si>
    <t>11] Is there protection against wild birds / predators</t>
  </si>
  <si>
    <t>12] Hygienic barrier before entering the shed: Availability of a sink and drain, tidiness and evidence of regular use by staff</t>
  </si>
  <si>
    <t>13] Hygienic barrier: Cleaning and disinfection of barrier items (floor, walls, barrier itself etc.)</t>
  </si>
  <si>
    <t>14] Hygienic barrier: hand hygiene (availability of soap, disposable hand towels, disinfection)</t>
  </si>
  <si>
    <t>15] Dedicated clothing per house: overall</t>
  </si>
  <si>
    <t>16] Dedicated shoes or disinfection pan per house</t>
  </si>
  <si>
    <t>17] Hygienic separation between egg packing plant and house / shed</t>
  </si>
  <si>
    <t>18] Cleaning and disinfection of machinery / tools before use in different houses</t>
  </si>
  <si>
    <t>19] Protection of the house against rodents: Safe and good condition of the poultry houses</t>
  </si>
  <si>
    <t>20] Protection against rodents: bait stations outside</t>
  </si>
  <si>
    <t>21] Protection against rodents: documentation of rodent control measures</t>
  </si>
  <si>
    <t>22] Protection of the poultry houses against wild birds / insects: by construction of nets / mesh in case of open windows and blinds</t>
  </si>
  <si>
    <t>23] Manure transport: is it collected and transported through every shed / bird area or is it isolated for every bird area?</t>
  </si>
  <si>
    <t>24] Egg storage: Are the eggs stored in a controlled room isolated from the animal house? (Specific room, service room, in the house)</t>
  </si>
  <si>
    <t>25] Egg transport / Packing plant: Are they isolated for every shed or do the eggs travel through other sheds?</t>
  </si>
  <si>
    <t>26] What material is used for egg trays? (Cardboard - single use only = 5 / plastic = 0)</t>
  </si>
  <si>
    <t>27] Is an egg trolley used? No = 5; yes with C/D = 3; yes without regular C/D = see documentation</t>
  </si>
  <si>
    <t>28] Are cats and dogs allowed on the farm?</t>
  </si>
  <si>
    <t>29] Bacterial swabs; silo, feeding spiral, auger and other components if required</t>
  </si>
  <si>
    <t>30] Bacterial cuture analysis of the drinking line water</t>
  </si>
  <si>
    <t>31] House specific tools</t>
  </si>
  <si>
    <t>1] Salmonella status of the last cycle (negative = 5 / positive = 0)</t>
  </si>
  <si>
    <t>2] Compliance to targeted stocking rate according to national legislation (Yes/No)</t>
  </si>
  <si>
    <t>3] Tidiness of the poultry house (including ante-room) (tidy = 5 / untidy = 0)</t>
  </si>
  <si>
    <t>4] Cleanliness of scratching area (Cage only)</t>
  </si>
  <si>
    <t>5] Status of the nest box mat</t>
  </si>
  <si>
    <t>6] Status of the litter (in relation to stocking time) (tidy, dry, not capped / draggled / highly damp, draggled)</t>
  </si>
  <si>
    <t>7] Tidiness of other staff areas (e.g. Canteen etc.)</t>
  </si>
  <si>
    <t>8] Frequency of walking the birds / collecting carcasses / flock health check (&gt;2x daily; 1-2x daily;</t>
  </si>
  <si>
    <t>9] Flock information / house card (up-to-date / missing data / not available)</t>
  </si>
  <si>
    <t>10] Site All in / all out principle (yes/no)</t>
  </si>
  <si>
    <t>11] Cleaning measures in the drinker lines during the cycle (physical / chemical) (weekly / sporadically / turnaround only)</t>
  </si>
  <si>
    <t>12] Farm staff educated regularly regarding hygiene - evidence of training and fq</t>
  </si>
  <si>
    <t>1] Floor surface status of the poultry house; porosity, joints, cracks, condition (Good / satisfactory / poor)</t>
  </si>
  <si>
    <t>2] Availability of a structured and comprehensible terminal C&amp;D plan</t>
  </si>
  <si>
    <t>3] Frequency and application of the C&amp;D plan</t>
  </si>
  <si>
    <t>4] Time left empty after C/D (before preparation starts for next flock)</t>
  </si>
  <si>
    <t>5] Total duration of turnaround between flocks</t>
  </si>
  <si>
    <t>6] Disinfection of the house feed systems - inside (From silo to birds)</t>
  </si>
  <si>
    <t>7] Disinfection of the drinking systems inside (after each cycle / occasionally / not at all)</t>
  </si>
  <si>
    <t>8] Are visual controls in place after C&amp;D - to look out for effective cleaning.  Especially difficult to reach (documented / some / none)</t>
  </si>
  <si>
    <t>9] Are bacterial swabs taken following C/D to access effectiveness?</t>
  </si>
  <si>
    <t>10] Complete documentation of all C/D procedures in the house per house? (Yes/No)</t>
  </si>
  <si>
    <t>11] Monitoring for activity of rodents in the house</t>
  </si>
  <si>
    <t>12] Are records for rodent control house specific?</t>
  </si>
  <si>
    <t>13] Rodents in the poultry house (none / some evidence / often rodents)</t>
  </si>
  <si>
    <t>14] Control of insects in the poultry house (flies / beetles / mites)</t>
  </si>
  <si>
    <t>15] Complete documentation of all the procedures for insect control in the house (Yes/No)</t>
  </si>
  <si>
    <t>16] Infestation of the poultry house with insects - including redmite</t>
  </si>
  <si>
    <t>1] Is appropriate temperature / humidity documentation recorded (Yes/No)</t>
  </si>
  <si>
    <t>2] Regular checks, continuous collection and analysis of temperature and humidity data (Yes / No)</t>
  </si>
  <si>
    <t>3] Ammonia emissions checked and recorded</t>
  </si>
  <si>
    <t>4] Dust contamination in the air / house visibility (able to see end of house / limited visibility / poor visibility)</t>
  </si>
  <si>
    <t>5] Natural and artificial lighting: tidiness and functional efficiency</t>
  </si>
  <si>
    <t>6] Can temperature be acceptably controlled in the houses based on production system?</t>
  </si>
  <si>
    <t>1] Current total laying performance compliance to breed target</t>
  </si>
  <si>
    <t>2] Losses / mortality rate of previous cycle: compliance to breeding targets</t>
  </si>
  <si>
    <t>3] Is the total vaccination programme available and applied according to datasheet / manufacturer</t>
  </si>
  <si>
    <t>4] Do you visit your birds in rear prior to placement</t>
  </si>
  <si>
    <t>5] Abnormal behaviour: feather pecking, cannibalism, aggressiveness, skittishness (none, noticeable, particularly noticeable)</t>
  </si>
  <si>
    <t>6] Analysis of the health and production data with conclusions / recommendations for the next cycle (Yes/No)</t>
  </si>
  <si>
    <t>free-range</t>
  </si>
  <si>
    <t>Estimation/Question/Measurement</t>
  </si>
  <si>
    <t>Question</t>
  </si>
  <si>
    <t>Score</t>
  </si>
  <si>
    <t>Weighting</t>
  </si>
  <si>
    <t>Actual section score</t>
  </si>
  <si>
    <t>Max per section</t>
  </si>
  <si>
    <t>Comments for negative results</t>
  </si>
  <si>
    <t>Comments for high CCPs mid range</t>
  </si>
  <si>
    <t>Developed responses</t>
  </si>
  <si>
    <t>1.1 Analysis of the external farm protection</t>
  </si>
  <si>
    <t>Q</t>
  </si>
  <si>
    <t>Supply of birds only from controlled origin</t>
  </si>
  <si>
    <t>Not all birds are supplied from a single controlled origin</t>
  </si>
  <si>
    <t>If birds come from uncontrolled origins then the risk of bringing in infected pullets is increases.  Knowing the hens are reared in a salmonella free environment is paramount to control.</t>
  </si>
  <si>
    <t>QE</t>
  </si>
  <si>
    <t>Distance to infection sources</t>
  </si>
  <si>
    <t xml:space="preserve">Birds are housed close to noticeable infection sources </t>
  </si>
  <si>
    <t xml:space="preserve">Infection sources can be anything from slurry pits to areas that encourage rodent or wildlife presence such as grain-stores. Being aware of high risk infection sources is important to ensure attention is focused on all other controllable aspects of risk reduction.  Keeping birds away from such sources may be impractical but ensuring all interventions needed to minimise the impact of this risk must be taken.  </t>
  </si>
  <si>
    <t>Wild birds in proximity to houses</t>
  </si>
  <si>
    <t>Wild birds have easy access to the birds</t>
  </si>
  <si>
    <t>Wild birds often act as carriers of diseases and salmonella is no different. Although this may not be able to be completely prevented, awareness of this risk is important and should not be ignored.  Where possible interventions should be made to minimise the contact with any wild bird.</t>
  </si>
  <si>
    <t>Other livestock on farm or residence of staff</t>
  </si>
  <si>
    <t xml:space="preserve">Co-grazing and exposure to other livestock </t>
  </si>
  <si>
    <t>Salmonella is not restricted to poultry.  It can easily be transferred between all animal species and co-grazing with other livestock increases the risk of cross infection.  It is important not to allow other livestock to co-graze with the birds.</t>
  </si>
  <si>
    <t>Are farm staff monitored for specific zoonoes?</t>
  </si>
  <si>
    <t>Staff are not monitored for zoonotic diseases</t>
  </si>
  <si>
    <t>Staff and other visitors may be shedders of salmonella.  Many cases of salmonellosis in humans is undiagnosed.   As a result, there is a risk that staff may be shedding without being aware.  Monitoring annually or after any period of illness is important to ensure the hens are not being accidentally contaminated.</t>
  </si>
  <si>
    <t xml:space="preserve">Is the visitor book completed </t>
  </si>
  <si>
    <t>The visitor book is incomplete</t>
  </si>
  <si>
    <t>Knowing who came and left the farm is vital for any diseases tracing. Not knowing where visitors came from may expose the farm to individuals who can contaminate the flock.</t>
  </si>
  <si>
    <t>Compliance of contract workers to general/specific separation, house, specific boots/overalls</t>
  </si>
  <si>
    <t>Staff demonstrate poor compliance to general/specific separation and biosecurity</t>
  </si>
  <si>
    <t>Biosecurity is central to good practice.  Enforcing good compliance is important for both reducing the risk of salmonella and also other diseases.</t>
  </si>
  <si>
    <t>Control and documentation of Salmonella reports (e.g. feed mill, hatchery)</t>
  </si>
  <si>
    <t>Salmonella control documentation from feed mills is insufficient</t>
  </si>
  <si>
    <t xml:space="preserve">Knowing the salmonella free status of all suppliers, such as feed mills, is needed to have confidence salmonella is not being brought onto the site from another source. </t>
  </si>
  <si>
    <t>Control and documentation of Salmonella vaccination of the pullets</t>
  </si>
  <si>
    <t>Salmonella vaccination documentation of the pullets from the rearer is insufficient</t>
  </si>
  <si>
    <t>If correct documentation does not demonstrate appropriate salmonella vaccination then this should be raised with the pullet rearer and the BEIC</t>
  </si>
  <si>
    <t xml:space="preserve">Is the livestock transport visitation register up to date and actions recorded? </t>
  </si>
  <si>
    <t>The livestock transport register is not complete and biosecurity measures are not adhered to</t>
  </si>
  <si>
    <t xml:space="preserve">Strict biosecurity of all vehicles coming onto and off the site is essential to reducing the risks of introducing disease to the farm whilst documenting the movement of vehicles on and off the site is important for traceability of possible routes of infection. </t>
  </si>
  <si>
    <t xml:space="preserve">Is the farm fencing secure? </t>
  </si>
  <si>
    <t>Farm fencing has breaks or access by the public</t>
  </si>
  <si>
    <t>Any break in fencing is a potential for birds to become exposed to uncontrolled sources of disease.  Broken fences should be repaired whilst any public access should be restricted.</t>
  </si>
  <si>
    <t>Supply documentation of Salmonella free DOCs from breeder hatchery or pullets from farm</t>
  </si>
  <si>
    <t>Documented evidence for salmonella free birds from the pullet rearer is insufficient</t>
  </si>
  <si>
    <t>Are the DOC/Pullets checked upon arrival with a clear protocol and sanctions in place if Salmonella is identified?</t>
  </si>
  <si>
    <t>Pullets are not routinely checked or swabbed upon arrival</t>
  </si>
  <si>
    <t xml:space="preserve">Swabbing the birds on arrival allows for the initial status of the birds being introduced to the farm.  This allows detection of salmonella early, or helps determine where birds may have become infected should it occur. </t>
  </si>
  <si>
    <t xml:space="preserve">What is the frequency of Salmonella testing? </t>
  </si>
  <si>
    <t>The frequency of testing for salmonella is insufficient</t>
  </si>
  <si>
    <t xml:space="preserve">The frequency of salmonella testing can be increased above the Lion Code requirements </t>
  </si>
  <si>
    <t xml:space="preserve">Routine salmonella testing is a pre-requisite of the Lion Code.  </t>
  </si>
  <si>
    <t>Whilst the Lion Code directs a minimum testing frequency, infections can occur in between official samples. More frequent testing allows for greater control over the environment and thus reduces risk for Salmonella.</t>
  </si>
  <si>
    <t>general Area</t>
  </si>
  <si>
    <t>What is the distance between houses? (&gt;20, 10 - 20, &lt;10)</t>
  </si>
  <si>
    <t>Distances between houses are very close</t>
  </si>
  <si>
    <t>x</t>
  </si>
  <si>
    <t xml:space="preserve">Close houses encourage areas to develop that may attract rodents or wildlife.   Whilst the placement of buildings may not be able to be changed, the risk is nonetheless present.  It is essential that focused efforts on ensuring the space between buildings is kept clear and well protected from rodents. </t>
  </si>
  <si>
    <t>E</t>
  </si>
  <si>
    <t>What is the tidiness/vegetation in vicinity of poultry house environment</t>
  </si>
  <si>
    <t>The farm tidiness of external areas is likely to attract wildlife and rodents</t>
  </si>
  <si>
    <t>General tidiness allows all areas to be monitored and cleaned more easily.  If clutter is allowed to build, rodents quickly move into the environment and become harder to eliminate.</t>
  </si>
  <si>
    <t xml:space="preserve">Paved roads and ways at the farm? </t>
  </si>
  <si>
    <t>Insufficient paved or concreted areas around the poultry houses</t>
  </si>
  <si>
    <t>Concrete is much easier to keep clean and reduces the dirt, or other materials, being brought into service sheds. Clear walkways also reduce areas needed to be disinfected should concern be raised about biosecurity.</t>
  </si>
  <si>
    <t>Carcass Storage (Distance to poultry house, at the border of the farm, locked concrete surface, chilled storage</t>
  </si>
  <si>
    <t>Carcass storage has some deficiencies</t>
  </si>
  <si>
    <t>Carcasses both attract rodents or can culture bacteria such as salmonella. Weekly emptying, sealed storage and ensuring the bin is away from any feed areas helps reduce the risk for cross contamination of the live birds with the dead birds.</t>
  </si>
  <si>
    <t>Regular emptying of the carcass container followed by cleaning and disinfection (inside and outside)</t>
  </si>
  <si>
    <t>Emptying of the carcass storage is too infrequent</t>
  </si>
  <si>
    <t>Emptying the dead bin at least weekly will allow regular disinfection and cleaning.  Leaving carcasses longer increases the risk of rodents and other scavengers becoming attracted to the site.</t>
  </si>
  <si>
    <t>Storage of manure (poultry and other livestock species)</t>
  </si>
  <si>
    <t>Manure storage on the farm</t>
  </si>
  <si>
    <t xml:space="preserve">Manure on a farm encourages rodent presence whilst also acting as a notable infection source.  </t>
  </si>
  <si>
    <t>Purchase of certified/controlled litter</t>
  </si>
  <si>
    <t xml:space="preserve">Litter is not purchased from certified salmonella-free sources </t>
  </si>
  <si>
    <t>Whilst litter is purchased from sources that control for salmonella, environmental enrichments can also carry the bacteria</t>
  </si>
  <si>
    <t>All products supplied to the farm should be certified free from salmonella.  Uncertified sources of litter or environmental enrichment are likely to be untreated for infectious diseases and thus carry increased risks for introducing salmonella onto any site.  An example could be storage of some products, such as straw-bales, not being sealed and could be contaminated by rodents or wildlife that subsequently infect the product with salmonella.</t>
  </si>
  <si>
    <t>Storage of litter at the farm (secure and dry; minor deficiencies; major deficiencies</t>
  </si>
  <si>
    <t>Storage of the litter could be susceptible to access by wildlife or rodents</t>
  </si>
  <si>
    <t>The way the litter is stored needs to be correct to prevent access to rodents and wildlife that both have the potential to bring disease onto site from outside the farm areas.</t>
  </si>
  <si>
    <t>Tidiness of the silo/feed storage</t>
  </si>
  <si>
    <t>The silo/feed area is untidy and could attract wildlife or rodents</t>
  </si>
  <si>
    <t xml:space="preserve">Cleanliness around feed storage is paramount to prevent attracting wild infection sources. </t>
  </si>
  <si>
    <t>Cleaning of the silo inside/the feed storage</t>
  </si>
  <si>
    <t>Infrequent cleaning of the inside of the silo/feed storage</t>
  </si>
  <si>
    <t>Regular cleaning of the silo ensures no carryover of food, or potential infections that may reside within the bin, hopper or tracks.</t>
  </si>
  <si>
    <t>Disinfection of the silo inside/the feed storage</t>
  </si>
  <si>
    <t>Infrequent disinfection of the inside of the silo/feed storage</t>
  </si>
  <si>
    <t>Regular cleaning should be followed by routine disinfection of the entire feed system to ensure all potential reservoirs of infection are addressed.</t>
  </si>
  <si>
    <t>Separation between general and specific area</t>
  </si>
  <si>
    <t>Conditions of poultry house (No repairs/some repairs/major repairs)</t>
  </si>
  <si>
    <t>The poultry house requires many repairs</t>
  </si>
  <si>
    <t>Minor damage to houses</t>
  </si>
  <si>
    <t>The poor condition of the house allows for potential access to rodents, places where insects may hide and areas that could be difficult to clean effectively allowing salmonella to persist if it ever enters the flock. Repairing the faults is imperative to reduce the risk.</t>
  </si>
  <si>
    <t>Even minor damage has the potential to harbour bacteria, such as salmonella, or viruses and other sources of disease.  Damage increases the difficulty of ensuring effective cleaning and disinfection thus increasing the risk for disease carry over to subsequent flocks</t>
  </si>
  <si>
    <t>Free range/Scratching area/Winter garden</t>
  </si>
  <si>
    <t>The birds are free range</t>
  </si>
  <si>
    <t>Free range birds are at greater risk than housed birds.  Whilst the management system is fixed, every effort should be made to address other risk factors so as to minimise the overall risk.</t>
  </si>
  <si>
    <t>QEM</t>
  </si>
  <si>
    <t xml:space="preserve">Compliance to stocking rate outside (run) according to legal requirements - documentation to support? </t>
  </si>
  <si>
    <t>Stocking rates are too high</t>
  </si>
  <si>
    <t xml:space="preserve">Overstocking stresses the birds, stressed birds are less able to fight off infection.  Ensure the stocking rate is in line with the guidance of the assurance programs you are a member of. </t>
  </si>
  <si>
    <t>Is access to the run through the house or can it be accessed from the outside</t>
  </si>
  <si>
    <t>Access to the range can be gained without going through the poultry house</t>
  </si>
  <si>
    <t xml:space="preserve">Entering the range from the outside leaves the potential for avoiding common biosecurity measures.  Should access to the range from the outside be necessary, ensure all staff follow the same procedures as they would when entering the house. Additionally, tractor wheels and equipment should be disinfected prior to, and following, entry to the range. </t>
  </si>
  <si>
    <t>Is the run treated with Lime? (Several times a year/when thought necessary/none)</t>
  </si>
  <si>
    <t>The run is rarely treated with lime</t>
  </si>
  <si>
    <t>Lime is good at desiccating bacteria.  Routine and regular treatment will help lower any bacterial burden, and any salmonella, especially in the high traffic area outside the popholes</t>
  </si>
  <si>
    <t>Do the birds range well - homogenous use of the run by the birds</t>
  </si>
  <si>
    <t>The birds do not appear to range well and increase the contamination of particular areas</t>
  </si>
  <si>
    <t>Birds failing to range is an indication of poor wellbeing in a free range flock.  There are many causes for poor ranging and a detailed assessment should be made with focused efforts on rectifying the shortfalls.</t>
  </si>
  <si>
    <t>Is the area of the run adjacent to the shed concreted or unsurfaced?</t>
  </si>
  <si>
    <t>The area under the popholes is not concreted</t>
  </si>
  <si>
    <t>The area under the popholes is a high traffic area.  Poor surfaces are harder to clean and the build-up of faeces or other debris will attract wildlife and rodents together with their potential risks for disease and salmonella.</t>
  </si>
  <si>
    <t>Does the soil in the run get changed? (every cycle/every 3 years/not at all)</t>
  </si>
  <si>
    <t>The substrate adjacent to the popholes is never changed</t>
  </si>
  <si>
    <t>The area outside the popholes is changed every three years</t>
  </si>
  <si>
    <t xml:space="preserve">Managing the pasture by turning the soil, or replacing the run substrate, will help keep the run fresh and reduce any potential pathogenic microbe building up. </t>
  </si>
  <si>
    <t>Areas where there is high traffic of birds are areas where infection can be easily spread. Changing the area between flocks reduces the potential for carryover of disease into subsequent flocks.</t>
  </si>
  <si>
    <t>Are there drinkers outside?</t>
  </si>
  <si>
    <t>Drinkers are outside</t>
  </si>
  <si>
    <t xml:space="preserve">Drinkers outside attract wildlife and should be removed. </t>
  </si>
  <si>
    <t>Are there feeders outside?</t>
  </si>
  <si>
    <t>Feeders are outside</t>
  </si>
  <si>
    <t xml:space="preserve">Feeders outside will attract rodents and wildlife and should be removed. </t>
  </si>
  <si>
    <t>Is there protection against wild birds/predators?</t>
  </si>
  <si>
    <t>There is little protection from wild birds or predators</t>
  </si>
  <si>
    <t xml:space="preserve">Efforts should be made to net off key areas from wildlife so as to reduce the potential contact from wild birds. </t>
  </si>
  <si>
    <t>Hygienic barrier before entering the shed: Availability of a sink and drain, tidiness, and evidence of regular use by staff</t>
  </si>
  <si>
    <t>The service room is untidy and lacks biosecurity measures</t>
  </si>
  <si>
    <t>The barrier before entering a shed has the basic requirements  but improvements are needed</t>
  </si>
  <si>
    <t xml:space="preserve">An untidy service room is hard to effectively clean and disinfect.  There are also more areas for rodents to enter or reside unnoticed. </t>
  </si>
  <si>
    <t>Hygienic barrier: Cleaning and disinfection of barrier items (floor, walls, barrier itself etc.)</t>
  </si>
  <si>
    <t>The service room is not cleaned or disinfected routinely</t>
  </si>
  <si>
    <t xml:space="preserve">Regular cleaning and disinfection of the service room is essential.  As the barrier between general and specific areas it is vital no build up of disease can occur. </t>
  </si>
  <si>
    <t>Hygienic barrier: hand hygiene (availability of soap, disposable hand towels, disinfection)</t>
  </si>
  <si>
    <t>The hand hygiene practices of staff is insufficient</t>
  </si>
  <si>
    <t xml:space="preserve">Hands of staff and farmers are one of the most common means of spreading disease. Regular access, and use, of cleaning facilities before and after contact with the birds is important in minimising the spread of diseases. </t>
  </si>
  <si>
    <t>Dedicated clothing per house: overall</t>
  </si>
  <si>
    <t>There are no dedicated overalls or clothing per individual house</t>
  </si>
  <si>
    <t>There are some house specific clothing items but ideally all overalls, boots and outer clothing will remain used for single houses</t>
  </si>
  <si>
    <t xml:space="preserve">Clothing acts as a common carrier for disease. House specific clothing will help contain any problems to that house. </t>
  </si>
  <si>
    <t>Dedicated shoes or disinfection pan per house</t>
  </si>
  <si>
    <t>There is no dedicated footwear per individual house</t>
  </si>
  <si>
    <t>Only relying on foot-dip disinfection between houses. No new boots per house</t>
  </si>
  <si>
    <t xml:space="preserve">The footwear used in the house is in direct contact with faeces.  Relying solely on foot-dip disinfection increases the risk of faecal material, and other diseases, between houses. Ensuring different boots for each house will help prevent spreading muck between sheds and thus a possible route for bacteria to be spread.  </t>
  </si>
  <si>
    <t>Hygienic separation between egg packing plant and house/shed</t>
  </si>
  <si>
    <t>The egg packing facility is adjacent to the shed</t>
  </si>
  <si>
    <t>Having the egg packing so close to the shed increases the potential for problems within the flock be transferred to the egg packer.  The risk profile is affected by the potential increase the risk of eggs contaminating the transport trucks that could subsequently potentially infect the general packing site, or other farms.</t>
  </si>
  <si>
    <t>Cleaning and disinfection of machinery/tools before use in different houses</t>
  </si>
  <si>
    <t>Shared equipment is not routinely cleaned or disinfected prior to use</t>
  </si>
  <si>
    <t>Sporadic cleaning and disinfection of equipment used between houses</t>
  </si>
  <si>
    <t xml:space="preserve">Sharing equipment between houses or farms is a common way to spread diseases around sites.  Equipment should be cleaned and disinfected before and after use.  Where possible house specific tools should be provided. </t>
  </si>
  <si>
    <t>Protection of the house against rodents: Safe and good condition of the poultry houses</t>
  </si>
  <si>
    <t>House damage is visible and some rodent access points were identified</t>
  </si>
  <si>
    <t>Minor house repairs are needed to protect the house against rodents</t>
  </si>
  <si>
    <t xml:space="preserve">Rodent access points imply rodents are present.  Review the rodent control policy and seek professional expertise for guidance. </t>
  </si>
  <si>
    <t>Minor damage to houses increases the risk that rodents have access to the birds. Focused efforts to maintaining all areas of buildings will reduce this potential threat and help protect disease transfer between flocks.</t>
  </si>
  <si>
    <t>Protection against rodents: bait stations outside</t>
  </si>
  <si>
    <t>Insufficient bait stations for rodent control are present</t>
  </si>
  <si>
    <t xml:space="preserve">Not baiting sufficiently may allow a rodent population to become established.  Review the rodent policy with someone appropriately trained and implement their recommendations. </t>
  </si>
  <si>
    <t>Protection against rodents: documentation of rodent control measures</t>
  </si>
  <si>
    <t>Rodent control documentation and control measures are inadequate</t>
  </si>
  <si>
    <t>Effective documentation is key to monitoring procedures and policies.  Records need to be maintained to help any outside support better understand the practices on the farm.</t>
  </si>
  <si>
    <t>Protection of the poultry houses against wild birds/insects: by construction of nets/mesh in case of open windows and blinds</t>
  </si>
  <si>
    <t xml:space="preserve">Ineffective protection of poultry houses against wild birds </t>
  </si>
  <si>
    <t xml:space="preserve">Wild birds having access to the house will increase the contact between them and the laying hens. Ensuring no wildlife can access the house will help reduce the risk of contact spreading disease. </t>
  </si>
  <si>
    <t>Manure transport: is it collected and transported through every shed/bird area or is it isolated for every bird area?</t>
  </si>
  <si>
    <t>Manure is transported through multiple sheds</t>
  </si>
  <si>
    <t xml:space="preserve">Faeces is a common means of disease and salmonella being spread.  Transporting the muck from different houses through other sheds will help spread unwanted bacteria and viruses. This practice should be stopped where practical. </t>
  </si>
  <si>
    <t>Egg storage: Are the eggs stored in a controlled room isolated from the animal house? (Specific room, service room, in the house)</t>
  </si>
  <si>
    <t>Eggs are stored too close to the poultry house</t>
  </si>
  <si>
    <t>Close storage of eggs to the poultry house increases the potential for inadvertent salmonella spread between the locations. If this cannot be changed then separate biosecurity measures should be implemented to try to minimised the potential contamination</t>
  </si>
  <si>
    <t>Egg transport/Packing plant. Are they isolated for every shed or do the eggs travel through other sheds?</t>
  </si>
  <si>
    <t>Eggs travel through other sheds before reaching the packing plant</t>
  </si>
  <si>
    <t xml:space="preserve">Eggs travelling between sheds may act to spread bacteria or other diseases around a farm.  Where possible this practice should be stopped. </t>
  </si>
  <si>
    <t>What material is used for egg trays? (Cardboard - single use only = 5/plastic = 0)</t>
  </si>
  <si>
    <t>Plastic trays are used for egg packing</t>
  </si>
  <si>
    <t xml:space="preserve">Plastic trays require re-washing and get re-used.  Washing procedures may not be as effective as intended and soiled trays can move disease between farms.  If plastic is used then procedures should be in place to assess the trays before eggs are packed and inadequacies should be fed back to the packers. </t>
  </si>
  <si>
    <t xml:space="preserve">Is an egg trolley used? No = 5; yes with C/D = 3; Yes without regular C/D = see documentation </t>
  </si>
  <si>
    <t>The egg trolley is not cleaned regularly and documented</t>
  </si>
  <si>
    <t>The egg trolley can act as a site where bacteria, or salmonella can build up.  Routine cleaning and bacterial swab assessment is required to reduce the risk.</t>
  </si>
  <si>
    <t>Are cats and dogs allowed on the farm? No; Free range on premises/access to service rooms</t>
  </si>
  <si>
    <t>Family pets are allowed on farm</t>
  </si>
  <si>
    <t>Family pets can act as shedders and carriers of salmonella, or facilitate the transfer of disease.  Preventing their access to the farm is important in mitigating this risk.</t>
  </si>
  <si>
    <t>Microbiological feed analysis; silo, feeding spiral, auger and other components if required (&gt;2x yearly, 1 - 2 x year, none)</t>
  </si>
  <si>
    <t>Infrequent bacterial assessment is carried out of the feeders</t>
  </si>
  <si>
    <t xml:space="preserve">Routine bacterial swabs is the only means to assess the effectiveness of the disinfection procedures.  </t>
  </si>
  <si>
    <t>Microbiological analysis of the drinking line water (&gt;2x yearly; 1 - 2  x year; none)</t>
  </si>
  <si>
    <t>Infrequent bacterial assessment is carried out of the drinker lines</t>
  </si>
  <si>
    <t xml:space="preserve">Drinker lines can allow biofilm to build up.  Routine bacterial swabs is the only means to assess the effectiveness of the disinfection procedures.  </t>
  </si>
  <si>
    <t>House specific tools (Available; not available)</t>
  </si>
  <si>
    <t>House specific tools are not routinely available</t>
  </si>
  <si>
    <t xml:space="preserve">House specific tools will reduce the need for cleaning and disinfecting shared items.  Where possible the most frequently used items should be provided for each house to minimise the potential for equipment to transfer disease around sheds. </t>
  </si>
  <si>
    <t>Salmonella status of the last cycle (negative = 5/positive = 0)</t>
  </si>
  <si>
    <r>
      <t xml:space="preserve">The last flock was positive for </t>
    </r>
    <r>
      <rPr>
        <i/>
        <sz val="11"/>
        <color theme="1"/>
        <rFont val="Calibri"/>
        <family val="2"/>
        <scheme val="minor"/>
      </rPr>
      <t>Salmonella</t>
    </r>
  </si>
  <si>
    <t xml:space="preserve">A previous flock positive for salmonella carries a large risk for the subsequent flock being positive.  Every effort should be made to ensure the farm is salmonella negative before re-stocking. </t>
  </si>
  <si>
    <t>Compliance to targeted stocking rate according to national legislation (Yes/No)</t>
  </si>
  <si>
    <t>The bird stocking rate is above national legislation</t>
  </si>
  <si>
    <t xml:space="preserve">High stocking densities increase the stress on birds and this renders them more susceptible to disease and infection. </t>
  </si>
  <si>
    <t>Tidiness of the poultry house (incl ante-room) (tidy = 5/untidy = 0)</t>
  </si>
  <si>
    <t>The general tidiness of the poultry house is could be improved</t>
  </si>
  <si>
    <t xml:space="preserve">Tidiness allows for effective cleaning.  Preventing the build-up of clutter allows for a better disinfection process and reduces the potential for missing rodent access points. </t>
  </si>
  <si>
    <t>Cleanliness of the scratching area</t>
  </si>
  <si>
    <t>The laying nests are excessively soiled and untidy</t>
  </si>
  <si>
    <t xml:space="preserve">Salmonella is excreted in faeces.  Soiled laying nests increase the risk that salmonella can contaminate either hens or freshly laid eggs. </t>
  </si>
  <si>
    <t>Status of nest box mat</t>
  </si>
  <si>
    <t>The nest box mat area is untidy and dirty</t>
  </si>
  <si>
    <t xml:space="preserve">Salmonella is excreted in faeces.  Soiled areas can cross-contaminate hens sharing the same space. </t>
  </si>
  <si>
    <t>Status of the litter (in relation to stocking time) (tidy, dry, not capped/draggled/highly damp, draggled)</t>
  </si>
  <si>
    <t>The litter is in poor condition even with accounting for stocking time</t>
  </si>
  <si>
    <t>Poor litter can suggest enteritis or other disease challenges. Salmonella propagates in moist environments whilst undiagnosed diseases can cause increased stress on the birds immune system thereby increasing the potential for salmonella or other diseases to become established.</t>
  </si>
  <si>
    <t>Tidiness of side rooms (tidy = 5/not = 0)</t>
  </si>
  <si>
    <t>The staff rooms and service rooms of the houses are untidy</t>
  </si>
  <si>
    <t>Frequency of walking the birds/collecting carcasses/flock health check (&gt;2x daily; 1- 2 x daily; &lt;1 daily)</t>
  </si>
  <si>
    <t>The birds are not walked frequently enough potentially leaving carcasses exposed excessively</t>
  </si>
  <si>
    <t>Birds could be walked more frequently</t>
  </si>
  <si>
    <t xml:space="preserve">Dead carcasses can attract rodents, promote cannibalism or act as centres for bacterial, and potentially salmonella, growth. Frequent walking, more than twice daily, allowing assessment and diligent removal of carcasses will reduce this risk to minimal. </t>
  </si>
  <si>
    <t>Flock information/house card (up-to-date/missing data/not available)</t>
  </si>
  <si>
    <t>Flock house cards are not kept up to date</t>
  </si>
  <si>
    <t>Records are vital to aid in assessment and diagnosis of potential problems.  Poorly kept flock cards means it is more challenging to relate current concerns to historical indicators.</t>
  </si>
  <si>
    <t>QM</t>
  </si>
  <si>
    <t>All in/all out principle (yes/no)</t>
  </si>
  <si>
    <t>The site is not managed under an all-in/all-out system</t>
  </si>
  <si>
    <t xml:space="preserve">A multi-age site increases the risk that older birds infect younger, naïve, birds with diseases.  An all-in, all-out system is optimum for preventing this transfer of diseases. </t>
  </si>
  <si>
    <t>Cleaning measures in the drinker lines during the cycle (physical/chemical) (weekly/sporadically/turnaround only)</t>
  </si>
  <si>
    <t>Insufficient cleaning process of the drinker lines</t>
  </si>
  <si>
    <t>Routine water hygeine practices are not used frequently</t>
  </si>
  <si>
    <t>Drinker lines can harbour biofilm that protects the bacterial populations within it. Effective cleaning and monitoring during the entire flock production cycle is important so interventions can be made as quickly as possible should a biofilm, or other debris be detected.  Continuous treatment, together with monitoring using bacteriological samples taken would ensure optimum water hygeine and biofilm prevention.</t>
  </si>
  <si>
    <t>A</t>
  </si>
  <si>
    <t>Farm staff educated regularly regarding hygiene - evidence of training and fq (regularly/infrequently)</t>
  </si>
  <si>
    <t xml:space="preserve">Farm staff do not get regularly educated in hygiene and biosecurity </t>
  </si>
  <si>
    <t>Regular education of farm staff is important to maintain good practice. Annual training is recommended, more frequently if standards are particularly poor or staff turnover is high.</t>
  </si>
  <si>
    <t>Cleaning and disinfection, pest control</t>
  </si>
  <si>
    <t>EM</t>
  </si>
  <si>
    <t>Floor surface status of the poultry house; porosity, joints, cracks, condition (Good/satisfactory/poor)</t>
  </si>
  <si>
    <t>Excessive damage to floor surfaces of the poultry house</t>
  </si>
  <si>
    <t>Moderate damage to the house floor surfaces</t>
  </si>
  <si>
    <t>Cracks and poor floor condition make effective cleaning and disinfection more challenging. Such areas can protect bacteria from coming into contact with appropriate disinfectants rendering the effect inadequate.</t>
  </si>
  <si>
    <t>Availability of a structured and comprehensible house C&amp;D plan</t>
  </si>
  <si>
    <t>No structured cleaning and disinfection protocol</t>
  </si>
  <si>
    <t xml:space="preserve">A clear cleaning and disinfection protocol helps to ensure a set standard of cleaning and disinfection is achieved.  </t>
  </si>
  <si>
    <t>Frequency and application of the C&amp;D plan:</t>
  </si>
  <si>
    <t>Cleaning and disinfection is too infrequent or of low quality</t>
  </si>
  <si>
    <t>Cleaning and disinfection practices after each cycle can be improved</t>
  </si>
  <si>
    <t xml:space="preserve">Cleaning and disinfection is the first line of defence against any disease.  An external consultant can help educate and plan an effective protocol to help improve this risk factor. </t>
  </si>
  <si>
    <t>Time left empty after C/D (before preparation starts for next flock) &gt;4/1-3/&lt;24hours</t>
  </si>
  <si>
    <t>Insufficient time is allowed between cleaning and disinfection and restocking</t>
  </si>
  <si>
    <t>Allowing enough time for effective cleaning and disinfection is vital to ensure a good clean is achieved.  Excessive pressure on turnaround times will be a false economy in the long run should established diseases from previous flocks be carried over into the new production cycle.</t>
  </si>
  <si>
    <t>Duration of complete service period (4weeks/2weeks/&lt;2weeks)</t>
  </si>
  <si>
    <t>The short service period is likely to compromise the quality of the clean-out</t>
  </si>
  <si>
    <t>Disinfection of the feed systems - inside (after each cycle/occasionally/not at all)</t>
  </si>
  <si>
    <t>Infrequent cleaning and disinfection of the feeding systems</t>
  </si>
  <si>
    <t>The feeding system cleaning and disinfection processes can be improved</t>
  </si>
  <si>
    <t>Poorly cleaned feeding systems can attract rodents, allow bacteria to grow on feed build up and risks carrying bacteria or disease throughout the flock. Regular assessment of all areas such as feed bins, hoppers, tracks and augers together with effective cleaning is essential to prevent this risk.</t>
  </si>
  <si>
    <t>Disinfection of the drinking systems - inside (after each cycle/occasionally/not at all)</t>
  </si>
  <si>
    <t>Infrequent cleaning and disinfection of the drinking lines</t>
  </si>
  <si>
    <t>The drinker line cleaning and disinfection processes can be improved</t>
  </si>
  <si>
    <t>Drinker lines can harbour biofilm that protects the bacterial populations within it. Effective cleaning and monitoring during the entire flock production cycle is important so interventions can be made as quickly as possible should a biofilm, or other debris be detected.</t>
  </si>
  <si>
    <t>Are visual controls in place after C&amp;D - to look out for effective cleaning. Especially difficult to reach (documented/some/none)</t>
  </si>
  <si>
    <t>Low quality post cleaning and disinfection assessment</t>
  </si>
  <si>
    <t>Little documentation regarding cleaning and disinfection assessment</t>
  </si>
  <si>
    <t>Bacterial swabs and visual inspections following cleaning and disinfection is important to ensure and effective cleaning and disinfection job is being carried out.  Documentation of the procedures helps record actions and identify accountibility for the job.</t>
  </si>
  <si>
    <t>Is a microbiological assessment taken (swabs) following C/D to assess effectiveness? (Multiple swabs, multiple locations/some swabs/none)</t>
  </si>
  <si>
    <t>Insufficient swabs are taken to assess the effectiveness of cleaning and disinfection</t>
  </si>
  <si>
    <t>Some swabs taken to assess effectiveness of cleaning and disinfection practices</t>
  </si>
  <si>
    <t>More swabs should be taken to ensure the effectiveness the disinfectants of removing and reducing bacterial loads.  Monitoring high risk areas, such as drinker lines, fans and feeding systems will help focus the cleaning and disinfection process.</t>
  </si>
  <si>
    <t>Complete documentation of all C/D procedures in the house? (Yes/No)</t>
  </si>
  <si>
    <t>Incomplete documentation of all house cleaning and disinfection procedures</t>
  </si>
  <si>
    <t>Records are vital to aid in assessment and diagnosis of potential problems.  Poorly kept records means it is more challenging to relate current concerns to historical indicators.</t>
  </si>
  <si>
    <t>Monitoring and control of rodents in the house (regularly/sporadically/not at all)</t>
  </si>
  <si>
    <t>Poor monitoring of rodents and wildlife in the houses</t>
  </si>
  <si>
    <t xml:space="preserve">Rodents are a significant risk for introducing and propagating salmonella on farm. Effective monitoring is a vital first step in their control.  Consideration should be given to using an external party to carry this out. </t>
  </si>
  <si>
    <t>Complete records of all procedures for rodent control (available/not available)</t>
  </si>
  <si>
    <t>Incomplete records of rodent control procedures</t>
  </si>
  <si>
    <t>Rodents in the poultry house (none/some evidence/often rodents)</t>
  </si>
  <si>
    <t>Evidence of rodents within the poultry house</t>
  </si>
  <si>
    <t xml:space="preserve">Rodents are a significant cause in causing and propagating salmonella on farm.  Even small indications of rodent activity indicates the presence of rodents on farm.  this in turn suggests the current intervention measures are not effective.  Consideration should be given to using an external party to carry this out. </t>
  </si>
  <si>
    <t>Control of insects in the poultry house (flies/beetles) (regularly/sporadically/not at all)</t>
  </si>
  <si>
    <t>Poor control of insects within the poultry house</t>
  </si>
  <si>
    <t xml:space="preserve">Redmite, litter beetles and other insects can carry salmonella and also infect birds with the disease.  Effective insect control is important in the prevention of salmonella on farm. </t>
  </si>
  <si>
    <t>Complete documentation of all procedures for insect control in the house (yes/No)</t>
  </si>
  <si>
    <t>Inadequate documentation for insect control procedures</t>
  </si>
  <si>
    <t>Infestation of the poultry house with insects - including redmite (none/minor/heavy)</t>
  </si>
  <si>
    <t>Evidence of insect infestation, including redmite</t>
  </si>
  <si>
    <t xml:space="preserve">The presence of insects on farm suggests current management and interventions are not as effective as intended.  Consider seeking external advice on management and implementing their recommendations. </t>
  </si>
  <si>
    <t>Climate control</t>
  </si>
  <si>
    <t>Appropriate temperature/humidity control and documentation (yes/no)</t>
  </si>
  <si>
    <t>Poor temperature and humidity documentation and control of the houses</t>
  </si>
  <si>
    <t xml:space="preserve">Poor climate control, or excessive variation, can add stressors to the birds that make them more susceptible to diseases and other causes of poor performance. Documentation will help add context to diseases patterns or performance trends that may guide recommendations and potential interventions. </t>
  </si>
  <si>
    <t>Regular check, continuous collection and analysis of temperature and humidity data (yes/no)</t>
  </si>
  <si>
    <t>Infrequent monitoring and analysis of temperature and humidity data</t>
  </si>
  <si>
    <t xml:space="preserve">Analysis of the temperature and humidity data will allow for targeted interventions to be carried out.  Warm, humid environments can propagate bacterial, including salmonella, growth.  Regular assessment of data in line with production parameters will help to identify patterns and trends that that could be used to drive improvements. </t>
  </si>
  <si>
    <t>Ammonia emissions checked and  recorded (Weekly/sporadically/Never)</t>
  </si>
  <si>
    <t>Ammonia levels are not monitored sufficiently</t>
  </si>
  <si>
    <t xml:space="preserve">Ammonia occurs as a result of poor litter conditions.  Monitoring levels may help to pick up problems earlier than visual inspection and thus allow for pre-emptive interventions to be included. </t>
  </si>
  <si>
    <t>Dust contamination in the air/house visibility (able to see end of house/limited visibility/poor visibility</t>
  </si>
  <si>
    <t>Excessive dust within the poultry house</t>
  </si>
  <si>
    <t>Moderate dust within the poultry house</t>
  </si>
  <si>
    <t>Dust often acts as a reservoir for salmonella.   Excessive dust could act to spread disease, or reflect poor ventilation.  Identifying the root cause is important to instigate an intervention and mitigate this risk.</t>
  </si>
  <si>
    <t>Natural and artificial lighting: tidiness and functional efficiency (No concerns: major concerns)</t>
  </si>
  <si>
    <t>Poor lighting within the poultry house</t>
  </si>
  <si>
    <t>Lighting levels significantly impact the behaviour of the birds. Uneven lighting, or poor lighting, can drive behaviours that affect the stress of the birds.  Increased stressors will increase the susceptibility of the birds to diseases</t>
  </si>
  <si>
    <t>M</t>
  </si>
  <si>
    <t>Actual temperature of house (within 2degC/no compliance)</t>
  </si>
  <si>
    <t>Significant variation of the poultry house temperature to recorded temperature</t>
  </si>
  <si>
    <t xml:space="preserve">Poor climate control, or excessive variation, can add stressors to the birds that make them more susceptible to diseases and other causes of poor performance. Installing means, such as fans to drive ventilation in the summer, to mitigate this will be important to reduce the variation caused and thus reduce the stress on the birds. </t>
  </si>
  <si>
    <t>Laying capacity/performance compliance to integration's specification (yes/&lt;10% deviation/&gt;10%reduction)</t>
  </si>
  <si>
    <t>Significant production deviation from breed predicted performance</t>
  </si>
  <si>
    <t xml:space="preserve">Poor performance may indicate disease pressure or other stressors on the birds.  Any stressor can reduce the effective immune response and thus a risk for salmonella to become established in the environment. </t>
  </si>
  <si>
    <t>Losses/mortality rate per cycle: compliance to breeding targets (Yes/&lt;10% deviation/&gt;10% deviation)</t>
  </si>
  <si>
    <t>Excessive mortality and culls compared to breed predicted performance</t>
  </si>
  <si>
    <t xml:space="preserve">Investigation into the cause of mortality or excessive culls should be carried out with the vet.  Undiagnosed diseases will increase the potential for salmonella to become established should it be brought onto the farm. </t>
  </si>
  <si>
    <t>Vaccination programme available and applied according to SPC</t>
  </si>
  <si>
    <r>
      <t xml:space="preserve">Non-compliance with manufacturer's </t>
    </r>
    <r>
      <rPr>
        <i/>
        <sz val="11"/>
        <color theme="1"/>
        <rFont val="Calibri"/>
        <family val="2"/>
        <scheme val="minor"/>
      </rPr>
      <t>salmonella</t>
    </r>
    <r>
      <rPr>
        <sz val="11"/>
        <color theme="1"/>
        <rFont val="Calibri"/>
        <family val="2"/>
        <scheme val="minor"/>
      </rPr>
      <t xml:space="preserve"> vaccination recommendations</t>
    </r>
  </si>
  <si>
    <t xml:space="preserve">To ensure the maximum performance of the vaccination it should be administered in line with the manufacturer's directions.  Advice should be sought from the manufacturer. </t>
  </si>
  <si>
    <t xml:space="preserve">Are the pullets visited in rear? </t>
  </si>
  <si>
    <t>No visit to pullets during rearing period</t>
  </si>
  <si>
    <t xml:space="preserve">Assessing the pullets in rear is a good means to understand how the birds may perform in lay.  Any challenges can be discussed with the rearer in advance of their arrival and adjustments in the management may be made. </t>
  </si>
  <si>
    <t>Abnormal behaviour: feather pecking, cannibalism, aggressiveness, skittishness (none, noticeable, particularly noticeable)</t>
  </si>
  <si>
    <t>Noticeable evidence of abnormal behaviour, especially feather pecking and cannibalism</t>
  </si>
  <si>
    <t xml:space="preserve">Poor behaviour can be indicative of stressors on the birds. In addition to the welfare implications, cannibalism and feather pecking can break the skin of the birds and act as potential infection routes for salmonella. </t>
  </si>
  <si>
    <t>Analysis of the health and production data with conclusions/recommendations for the next cycles (yes/No)</t>
  </si>
  <si>
    <t>Poor use of previous flock health data to influence future flock management</t>
  </si>
  <si>
    <t>Regular and detailed evaluation of the flock data is important to drive continuous improvement.  Assessment with the regional manager or your vet will help use this information as effectively as possible.</t>
  </si>
  <si>
    <t>Weighted Score</t>
  </si>
  <si>
    <t>Part III: Analysis of health and production parameters … Health and production parameters</t>
  </si>
  <si>
    <t>Part II: Analysis of the internal farm protection … Management</t>
  </si>
  <si>
    <t>Avril Ritchie</t>
  </si>
  <si>
    <t>JB GRIFFITHS F/R - F120 - LF1250</t>
  </si>
  <si>
    <t>N/A</t>
  </si>
  <si>
    <t>Drive through working farmyard area before reaching the houses. Driveway has some potholes</t>
  </si>
  <si>
    <t>34,000</t>
  </si>
  <si>
    <t>14 +</t>
  </si>
  <si>
    <t>Tori Charlton</t>
  </si>
  <si>
    <t>None</t>
  </si>
  <si>
    <t xml:space="preserve">0 Responses </t>
  </si>
  <si>
    <t xml:space="preserve">3 Responses </t>
  </si>
  <si>
    <t>NEWHOLME F/R - F893 - LF488</t>
  </si>
  <si>
    <t>Other enterprises on the farm, quite muddy approach to the hens.</t>
  </si>
  <si>
    <t>20 years</t>
  </si>
  <si>
    <t>38 weeks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</si>
</sst>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yyyy\-mm\-dd\ hh:mm:ss"/>
    <numFmt numFmtId="165" formatCode="dd\-mm\-yyyy"/>
  </numFmts>
  <fonts count="6" x14ac:knownFonts="1">
    <font>
      <sz val="11"/>
      <color theme="1"/>
      <name val="Calibri"/>
      <family val="2"/>
      <scheme val="minor"/>
    </font>
    <font>
      <sz val="11"/>
      <color rgb="FF000000"/>
      <name val="Calibri"/>
      <family val="2"/>
    </font>
    <font>
      <b/>
      <sz val="11"/>
      <color rgb="FF000000"/>
      <name val="Calibri"/>
      <family val="2"/>
    </font>
    <font>
      <sz val="11"/>
      <color theme="1"/>
      <name val="Calibri"/>
      <family val="2"/>
      <scheme val="minor"/>
    </font>
    <font>
      <i/>
      <sz val="11"/>
      <color theme="1"/>
      <name val="Calibri"/>
      <family val="2"/>
      <scheme val="minor"/>
    </font>
    <font>
      <b/>
      <sz val="11"/>
      <color theme="1"/>
      <name val="Calibri"/>
      <family val="2"/>
      <scheme val="minor"/>
    </font>
  </fonts>
  <fills count="5">
    <fill>
      <patternFill patternType="none"/>
    </fill>
    <fill>
      <patternFill patternType="gray125"/>
    </fill>
    <fill>
      <patternFill patternType="solid">
        <fgColor rgb="FFCCFFCC"/>
        <bgColor rgb="FF000000"/>
      </patternFill>
    </fill>
    <fill>
      <patternFill patternType="solid">
        <fgColor rgb="FFFFFF00"/>
        <bgColor indexed="64"/>
      </patternFill>
    </fill>
    <fill>
      <patternFill patternType="solid">
        <fgColor theme="1"/>
        <bgColor indexed="64"/>
      </patternFill>
    </fill>
  </fills>
  <borders count="19">
    <border>
      <left/>
      <right/>
      <top/>
      <bottom/>
      <diagonal/>
    </border>
    <border>
      <left/>
      <right/>
      <top/>
      <bottom style="thin">
        <color rgb="FF000000"/>
      </bottom>
      <diagonal/>
    </border>
    <border>
      <left style="thin">
        <color indexed="64"/>
      </left>
      <right/>
      <top/>
      <bottom style="thin">
        <color rgb="FF000000"/>
      </bottom>
      <diagonal/>
    </border>
    <border>
      <left/>
      <right style="medium">
        <color rgb="FF000000"/>
      </right>
      <top/>
      <bottom style="thin">
        <color rgb="FF000000"/>
      </bottom>
      <diagonal/>
    </border>
    <border>
      <left style="thin">
        <color indexed="64"/>
      </left>
      <right/>
      <top/>
      <bottom/>
      <diagonal/>
    </border>
    <border>
      <left/>
      <right/>
      <top/>
      <bottom style="thin">
        <color indexed="64"/>
      </bottom>
      <diagonal/>
    </border>
    <border>
      <left style="medium">
        <color indexed="64"/>
      </left>
      <right style="medium">
        <color indexed="64"/>
      </right>
      <top style="medium">
        <color indexed="64"/>
      </top>
      <bottom/>
      <diagonal/>
    </border>
    <border>
      <left/>
      <right/>
      <top style="medium">
        <color indexed="64"/>
      </top>
      <bottom/>
      <diagonal/>
    </border>
    <border>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medium">
        <color indexed="64"/>
      </left>
      <right style="medium">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rgb="FF000000"/>
      </left>
      <right style="medium">
        <color rgb="FF000000"/>
      </right>
      <top style="thin">
        <color rgb="FF000000"/>
      </top>
      <bottom/>
      <diagonal/>
    </border>
    <border>
      <left style="medium">
        <color rgb="FF000000"/>
      </left>
      <right style="medium">
        <color rgb="FF000000"/>
      </right>
      <top/>
      <bottom/>
      <diagonal/>
    </border>
  </borders>
  <cellStyleXfs count="2">
    <xf numFmtId="0" fontId="0" fillId="0" borderId="0"/>
    <xf numFmtId="9" fontId="3" fillId="0" borderId="0" applyFont="0" applyFill="0" applyBorder="0" applyAlignment="0" applyProtection="0"/>
  </cellStyleXfs>
  <cellXfs count="63">
    <xf numFmtId="0" fontId="0" fillId="0" borderId="0" xfId="0"/>
    <xf numFmtId="164" fontId="0" fillId="0" borderId="0" xfId="0" applyNumberFormat="1"/>
    <xf numFmtId="165" fontId="0" fillId="0" borderId="0" xfId="0" applyNumberFormat="1"/>
    <xf numFmtId="0" fontId="0" fillId="0" borderId="0" xfId="0" applyBorder="1"/>
    <xf numFmtId="0" fontId="0" fillId="0" borderId="4" xfId="0" applyBorder="1"/>
    <xf numFmtId="0" fontId="0" fillId="0" borderId="0" xfId="0" applyFill="1" applyBorder="1"/>
    <xf numFmtId="0" fontId="0" fillId="0" borderId="7" xfId="0" applyBorder="1"/>
    <xf numFmtId="0" fontId="0" fillId="0" borderId="8" xfId="0" applyBorder="1"/>
    <xf numFmtId="0" fontId="0" fillId="0" borderId="6"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2" xfId="0" applyFill="1" applyBorder="1"/>
    <xf numFmtId="0" fontId="0" fillId="0" borderId="11" xfId="0" applyFill="1" applyBorder="1"/>
    <xf numFmtId="0" fontId="0" fillId="0" borderId="8" xfId="0" applyFill="1" applyBorder="1"/>
    <xf numFmtId="0" fontId="0" fillId="0" borderId="14" xfId="0" applyFill="1" applyBorder="1"/>
    <xf numFmtId="0" fontId="0" fillId="0" borderId="15" xfId="0" applyFill="1" applyBorder="1"/>
    <xf numFmtId="0" fontId="0" fillId="0" borderId="14" xfId="0" applyBorder="1"/>
    <xf numFmtId="0" fontId="0" fillId="0" borderId="13" xfId="0" applyFill="1" applyBorder="1"/>
    <xf numFmtId="0" fontId="0" fillId="0" borderId="16" xfId="0" applyFill="1" applyBorder="1"/>
    <xf numFmtId="0" fontId="0" fillId="0" borderId="15" xfId="0" applyBorder="1"/>
    <xf numFmtId="0" fontId="0" fillId="0" borderId="9" xfId="0" applyFill="1" applyBorder="1"/>
    <xf numFmtId="0" fontId="0" fillId="0" borderId="13" xfId="0" applyBorder="1"/>
    <xf numFmtId="0" fontId="0" fillId="0" borderId="7" xfId="0" applyFill="1" applyBorder="1"/>
    <xf numFmtId="0" fontId="0" fillId="0" borderId="10" xfId="0" applyFill="1" applyBorder="1"/>
    <xf numFmtId="0" fontId="0" fillId="0" borderId="0" xfId="0" applyBorder="1" applyAlignment="1">
      <alignment wrapText="1"/>
    </xf>
    <xf numFmtId="0" fontId="0" fillId="0" borderId="5" xfId="0" applyBorder="1" applyAlignment="1">
      <alignment wrapText="1"/>
    </xf>
    <xf numFmtId="0" fontId="0" fillId="0" borderId="4" xfId="0" applyBorder="1" applyAlignment="1">
      <alignment wrapText="1"/>
    </xf>
    <xf numFmtId="0" fontId="0" fillId="0" borderId="0" xfId="0" applyFill="1" applyBorder="1" applyAlignment="1">
      <alignment wrapText="1"/>
    </xf>
    <xf numFmtId="0" fontId="0" fillId="0" borderId="0" xfId="0" applyBorder="1" applyAlignment="1"/>
    <xf numFmtId="0" fontId="0" fillId="4" borderId="7" xfId="0" applyFill="1" applyBorder="1" applyAlignment="1">
      <alignment horizontal="center"/>
    </xf>
    <xf numFmtId="0" fontId="0" fillId="4" borderId="0" xfId="0" applyFill="1" applyBorder="1"/>
    <xf numFmtId="0" fontId="0" fillId="4" borderId="14" xfId="0" applyFill="1" applyBorder="1"/>
    <xf numFmtId="0" fontId="0" fillId="4" borderId="7" xfId="0" applyFill="1" applyBorder="1"/>
    <xf numFmtId="0" fontId="0" fillId="0" borderId="4" xfId="0" applyBorder="1" applyAlignment="1">
      <alignment horizontal="center"/>
    </xf>
    <xf numFmtId="0" fontId="0" fillId="0" borderId="4" xfId="0" applyBorder="1" applyAlignment="1">
      <alignment horizontal="center" wrapText="1"/>
    </xf>
    <xf numFmtId="0" fontId="2" fillId="2" borderId="1" xfId="0" applyFont="1" applyFill="1" applyBorder="1" applyAlignment="1" applyProtection="1">
      <alignment horizontal="center" vertical="top" wrapText="1"/>
    </xf>
    <xf numFmtId="0" fontId="2" fillId="2" borderId="2" xfId="0" applyFont="1" applyFill="1" applyBorder="1" applyAlignment="1" applyProtection="1">
      <alignment horizontal="center" vertical="top" wrapText="1"/>
    </xf>
    <xf numFmtId="0" fontId="2" fillId="2" borderId="3" xfId="0" applyFont="1" applyFill="1" applyBorder="1" applyAlignment="1" applyProtection="1">
      <alignment horizontal="center" vertical="top" wrapText="1"/>
    </xf>
    <xf numFmtId="0" fontId="2" fillId="2" borderId="0" xfId="0" applyFont="1" applyFill="1" applyBorder="1" applyAlignment="1" applyProtection="1">
      <alignment horizontal="center" vertical="top" wrapText="1"/>
    </xf>
    <xf numFmtId="0" fontId="0" fillId="0" borderId="0" xfId="0" applyProtection="1"/>
    <xf numFmtId="0" fontId="2" fillId="0" borderId="17" xfId="0" applyFont="1" applyBorder="1"/>
    <xf numFmtId="0" fontId="2" fillId="0" borderId="18" xfId="0" applyFont="1" applyBorder="1"/>
    <xf numFmtId="1" fontId="0" fillId="0" borderId="5" xfId="0" applyNumberFormat="1" applyBorder="1" applyAlignment="1">
      <alignment wrapText="1"/>
    </xf>
    <xf numFmtId="1" fontId="0" fillId="0" borderId="0" xfId="0" applyNumberFormat="1" applyBorder="1"/>
    <xf numFmtId="1" fontId="0" fillId="0" borderId="0" xfId="0" applyNumberFormat="1"/>
    <xf numFmtId="1" fontId="0" fillId="0" borderId="0" xfId="0" applyNumberFormat="1" applyAlignment="1">
      <alignment wrapText="1"/>
    </xf>
    <xf numFmtId="1" fontId="0" fillId="3" borderId="7" xfId="1" applyNumberFormat="1" applyFont="1" applyFill="1" applyBorder="1"/>
    <xf numFmtId="1" fontId="0" fillId="3" borderId="14" xfId="0" applyNumberFormat="1" applyFill="1" applyBorder="1"/>
    <xf numFmtId="0" fontId="5" fillId="0" borderId="0" xfId="0" applyFont="1" applyBorder="1"/>
    <xf numFmtId="0" fontId="5" fillId="0" borderId="4" xfId="0" applyFont="1" applyBorder="1" applyAlignment="1">
      <alignment horizontal="center"/>
    </xf>
    <xf numFmtId="1" fontId="5" fillId="0" borderId="0" xfId="1" applyNumberFormat="1" applyFont="1" applyBorder="1"/>
    <xf numFmtId="0" fontId="5" fillId="0" borderId="0" xfId="0" applyFont="1"/>
    <xf numFmtId="1" fontId="5" fillId="0" borderId="0" xfId="0" applyNumberFormat="1" applyFont="1"/>
    <xf numFmtId="0" fontId="5" fillId="0" borderId="4" xfId="0" applyFont="1" applyBorder="1"/>
    <xf numFmtId="0" fontId="0" fillId="0" borderId="6" xfId="0" applyBorder="1" applyAlignment="1">
      <alignment horizontal="center" vertical="center" wrapText="1"/>
    </xf>
    <xf numFmtId="0" fontId="0" fillId="0" borderId="11" xfId="0" applyBorder="1" applyAlignment="1">
      <alignment horizontal="center" vertical="center" wrapText="1"/>
    </xf>
    <xf numFmtId="0" fontId="0" fillId="0" borderId="13" xfId="0" applyBorder="1" applyAlignment="1">
      <alignment horizontal="center" vertical="center" wrapText="1"/>
    </xf>
    <xf numFmtId="0" fontId="0" fillId="0" borderId="6"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0" fillId="0" borderId="0" xfId="0" applyNumberFormat="1"/>
  </cellXfs>
  <cellStyles count="2">
    <cellStyle name="Normal" xfId="0" builtinId="0"/>
    <cellStyle name="Percent" xfId="1" builtinId="5"/>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175260</xdr:colOff>
          <xdr:row>0</xdr:row>
          <xdr:rowOff>2019300</xdr:rowOff>
        </xdr:from>
        <xdr:to>
          <xdr:col>1</xdr:col>
          <xdr:colOff>647700</xdr:colOff>
          <xdr:row>0</xdr:row>
          <xdr:rowOff>2446020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Step 2 --&gt; Create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175260</xdr:colOff>
          <xdr:row>0</xdr:row>
          <xdr:rowOff>1440180</xdr:rowOff>
        </xdr:from>
        <xdr:to>
          <xdr:col>1</xdr:col>
          <xdr:colOff>647700</xdr:colOff>
          <xdr:row>0</xdr:row>
          <xdr:rowOff>1866900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Step 1 --&gt; Clear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2">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7DD0F5C-CFA2-4C24-B64F-9F08C962F274}">
  <we:reference id="wa104380955" version="3.1.2.0" store="en-US" storeType="OMEX"/>
  <we:alternateReferences>
    <we:reference id="WA104380955" version="3.1.2.0" store="WA104380955"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F3"/>
  <sheetViews>
    <sheetView tabSelected="1" workbookViewId="0">
      <selection activeCell="M3" sqref="M3"/>
    </sheetView>
  </sheetViews>
  <sheetFormatPr defaultRowHeight="14.4" x14ac:dyDescent="0.3"/>
  <cols>
    <col min="1" max="1" width="18.33203125" bestFit="1" customWidth="1"/>
    <col min="2" max="2" width="10.6640625" bestFit="1" customWidth="1"/>
    <col min="3" max="3" width="15.109375" bestFit="1" customWidth="1"/>
    <col min="4" max="4" width="10.5546875" bestFit="1" customWidth="1"/>
    <col min="5" max="6" width="10.5546875" customWidth="1"/>
  </cols>
  <sheetData>
    <row r="1" spans="1:110" s="41" customFormat="1" ht="273.60000000000002" x14ac:dyDescent="0.3">
      <c r="A1" s="37" t="s">
        <v>0</v>
      </c>
      <c r="B1" s="37" t="s">
        <v>1</v>
      </c>
      <c r="C1" s="37" t="s">
        <v>2</v>
      </c>
      <c r="D1" s="37" t="s">
        <v>3</v>
      </c>
      <c r="E1" s="37" t="s">
        <v>4</v>
      </c>
      <c r="F1" s="37" t="s">
        <v>5</v>
      </c>
      <c r="G1" s="37" t="s">
        <v>6</v>
      </c>
      <c r="H1" s="37" t="s">
        <v>7</v>
      </c>
      <c r="I1" s="37" t="s">
        <v>8</v>
      </c>
      <c r="J1" s="37" t="s">
        <v>9</v>
      </c>
      <c r="K1" s="37" t="s">
        <v>10</v>
      </c>
      <c r="L1" s="37" t="s">
        <v>11</v>
      </c>
      <c r="M1" s="37" t="s">
        <v>12</v>
      </c>
      <c r="N1" s="37" t="s">
        <v>13</v>
      </c>
      <c r="O1" s="37" t="s">
        <v>14</v>
      </c>
      <c r="P1" s="37" t="s">
        <v>15</v>
      </c>
      <c r="Q1" s="37" t="s">
        <v>16</v>
      </c>
      <c r="R1" s="37" t="s">
        <v>17</v>
      </c>
      <c r="S1" s="37" t="s">
        <v>18</v>
      </c>
      <c r="T1" s="37" t="s">
        <v>19</v>
      </c>
      <c r="U1" s="37" t="s">
        <v>20</v>
      </c>
      <c r="V1" s="37" t="s">
        <v>21</v>
      </c>
      <c r="W1" s="37" t="s">
        <v>22</v>
      </c>
      <c r="X1" s="37" t="s">
        <v>23</v>
      </c>
      <c r="Y1" s="37" t="s">
        <v>24</v>
      </c>
      <c r="Z1" s="37" t="s">
        <v>25</v>
      </c>
      <c r="AA1" s="37" t="s">
        <v>26</v>
      </c>
      <c r="AB1" s="38" t="s">
        <v>29</v>
      </c>
      <c r="AC1" s="37" t="s">
        <v>30</v>
      </c>
      <c r="AD1" s="37" t="s">
        <v>31</v>
      </c>
      <c r="AE1" s="37" t="s">
        <v>32</v>
      </c>
      <c r="AF1" s="37" t="s">
        <v>33</v>
      </c>
      <c r="AG1" s="37" t="s">
        <v>34</v>
      </c>
      <c r="AH1" s="37" t="s">
        <v>35</v>
      </c>
      <c r="AI1" s="37" t="s">
        <v>36</v>
      </c>
      <c r="AJ1" s="37" t="s">
        <v>37</v>
      </c>
      <c r="AK1" s="37" t="s">
        <v>38</v>
      </c>
      <c r="AL1" s="37" t="s">
        <v>39</v>
      </c>
      <c r="AM1" s="38" t="s">
        <v>40</v>
      </c>
      <c r="AN1" s="37" t="s">
        <v>41</v>
      </c>
      <c r="AO1" s="37" t="s">
        <v>42</v>
      </c>
      <c r="AP1" s="37" t="s">
        <v>43</v>
      </c>
      <c r="AQ1" s="37" t="s">
        <v>44</v>
      </c>
      <c r="AR1" s="37" t="s">
        <v>45</v>
      </c>
      <c r="AS1" s="37" t="s">
        <v>46</v>
      </c>
      <c r="AT1" s="37" t="s">
        <v>47</v>
      </c>
      <c r="AU1" s="37" t="s">
        <v>48</v>
      </c>
      <c r="AV1" s="37" t="s">
        <v>49</v>
      </c>
      <c r="AW1" s="37" t="s">
        <v>50</v>
      </c>
      <c r="AX1" s="37" t="s">
        <v>51</v>
      </c>
      <c r="AY1" s="37" t="s">
        <v>52</v>
      </c>
      <c r="AZ1" s="37" t="s">
        <v>53</v>
      </c>
      <c r="BA1" s="37" t="s">
        <v>54</v>
      </c>
      <c r="BB1" s="37" t="s">
        <v>55</v>
      </c>
      <c r="BC1" s="37" t="s">
        <v>56</v>
      </c>
      <c r="BD1" s="37" t="s">
        <v>57</v>
      </c>
      <c r="BE1" s="37" t="s">
        <v>58</v>
      </c>
      <c r="BF1" s="37" t="s">
        <v>59</v>
      </c>
      <c r="BG1" s="37" t="s">
        <v>60</v>
      </c>
      <c r="BH1" s="37" t="s">
        <v>61</v>
      </c>
      <c r="BI1" s="37" t="s">
        <v>62</v>
      </c>
      <c r="BJ1" s="37" t="s">
        <v>63</v>
      </c>
      <c r="BK1" s="37" t="s">
        <v>64</v>
      </c>
      <c r="BL1" s="37" t="s">
        <v>65</v>
      </c>
      <c r="BM1" s="37" t="s">
        <v>66</v>
      </c>
      <c r="BN1" s="37" t="s">
        <v>67</v>
      </c>
      <c r="BO1" s="37" t="s">
        <v>68</v>
      </c>
      <c r="BP1" s="37" t="s">
        <v>69</v>
      </c>
      <c r="BQ1" s="37" t="s">
        <v>70</v>
      </c>
      <c r="BR1" s="38" t="s">
        <v>71</v>
      </c>
      <c r="BS1" s="37" t="s">
        <v>72</v>
      </c>
      <c r="BT1" s="37" t="s">
        <v>73</v>
      </c>
      <c r="BU1" s="37" t="s">
        <v>74</v>
      </c>
      <c r="BV1" s="37" t="s">
        <v>75</v>
      </c>
      <c r="BW1" s="37" t="s">
        <v>76</v>
      </c>
      <c r="BX1" s="37" t="s">
        <v>77</v>
      </c>
      <c r="BY1" s="37" t="s">
        <v>78</v>
      </c>
      <c r="BZ1" s="37" t="s">
        <v>79</v>
      </c>
      <c r="CA1" s="37" t="s">
        <v>80</v>
      </c>
      <c r="CB1" s="37" t="s">
        <v>81</v>
      </c>
      <c r="CC1" s="37" t="s">
        <v>82</v>
      </c>
      <c r="CD1" s="38" t="s">
        <v>83</v>
      </c>
      <c r="CE1" s="37" t="s">
        <v>84</v>
      </c>
      <c r="CF1" s="37" t="s">
        <v>85</v>
      </c>
      <c r="CG1" s="37" t="s">
        <v>86</v>
      </c>
      <c r="CH1" s="37" t="s">
        <v>87</v>
      </c>
      <c r="CI1" s="37" t="s">
        <v>88</v>
      </c>
      <c r="CJ1" s="37" t="s">
        <v>89</v>
      </c>
      <c r="CK1" s="37" t="s">
        <v>90</v>
      </c>
      <c r="CL1" s="37" t="s">
        <v>91</v>
      </c>
      <c r="CM1" s="37" t="s">
        <v>92</v>
      </c>
      <c r="CN1" s="37" t="s">
        <v>93</v>
      </c>
      <c r="CO1" s="37" t="s">
        <v>94</v>
      </c>
      <c r="CP1" s="37" t="s">
        <v>95</v>
      </c>
      <c r="CQ1" s="37" t="s">
        <v>96</v>
      </c>
      <c r="CR1" s="37" t="s">
        <v>97</v>
      </c>
      <c r="CS1" s="37" t="s">
        <v>98</v>
      </c>
      <c r="CT1" s="38" t="s">
        <v>99</v>
      </c>
      <c r="CU1" s="37" t="s">
        <v>100</v>
      </c>
      <c r="CV1" s="37" t="s">
        <v>101</v>
      </c>
      <c r="CW1" s="37" t="s">
        <v>102</v>
      </c>
      <c r="CX1" s="37" t="s">
        <v>103</v>
      </c>
      <c r="CY1" s="37" t="s">
        <v>104</v>
      </c>
      <c r="CZ1" s="38" t="s">
        <v>105</v>
      </c>
      <c r="DA1" s="37" t="s">
        <v>106</v>
      </c>
      <c r="DB1" s="37" t="s">
        <v>107</v>
      </c>
      <c r="DC1" s="37" t="s">
        <v>108</v>
      </c>
      <c r="DD1" s="37" t="s">
        <v>109</v>
      </c>
      <c r="DE1" s="39" t="s">
        <v>110</v>
      </c>
      <c r="DF1" s="40" t="s">
        <v>27</v>
      </c>
    </row>
    <row r="2" spans="1:110" x14ac:dyDescent="0.3">
      <c r="A2" s="1">
        <v>43514.884108796286</v>
      </c>
      <c r="B2" t="s">
        <v>443</v>
      </c>
      <c r="C2" s="2">
        <v>43511</v>
      </c>
      <c r="D2" t="s">
        <v>444</v>
      </c>
      <c r="E2" t="s">
        <v>443</v>
      </c>
      <c r="F2" t="s">
        <v>445</v>
      </c>
      <c r="G2" t="s">
        <v>28</v>
      </c>
      <c r="H2" t="s">
        <v>446</v>
      </c>
      <c r="I2">
        <v>4</v>
      </c>
      <c r="J2" t="s">
        <v>447</v>
      </c>
      <c r="K2">
        <v>4</v>
      </c>
      <c r="L2" t="s">
        <v>448</v>
      </c>
      <c r="M2">
        <v>43</v>
      </c>
      <c r="N2">
        <v>5</v>
      </c>
      <c r="O2">
        <v>3</v>
      </c>
      <c r="P2">
        <v>0</v>
      </c>
      <c r="Q2">
        <v>5</v>
      </c>
      <c r="R2">
        <v>0</v>
      </c>
      <c r="S2">
        <v>5</v>
      </c>
      <c r="T2">
        <v>3</v>
      </c>
      <c r="U2">
        <v>5</v>
      </c>
      <c r="V2">
        <v>5</v>
      </c>
      <c r="W2">
        <v>3</v>
      </c>
      <c r="X2">
        <v>3</v>
      </c>
      <c r="Y2">
        <v>5</v>
      </c>
      <c r="Z2">
        <v>3</v>
      </c>
      <c r="AA2">
        <v>3</v>
      </c>
      <c r="AB2">
        <v>3</v>
      </c>
      <c r="AC2">
        <v>3</v>
      </c>
      <c r="AD2">
        <v>0</v>
      </c>
      <c r="AE2">
        <v>3</v>
      </c>
      <c r="AF2">
        <v>3</v>
      </c>
      <c r="AG2">
        <v>0</v>
      </c>
      <c r="AH2">
        <v>0</v>
      </c>
      <c r="AI2">
        <v>3</v>
      </c>
      <c r="AJ2">
        <v>5</v>
      </c>
      <c r="AK2">
        <v>3</v>
      </c>
      <c r="AL2">
        <v>5</v>
      </c>
      <c r="AM2">
        <v>5</v>
      </c>
      <c r="AN2">
        <v>0</v>
      </c>
      <c r="AO2">
        <v>5</v>
      </c>
      <c r="AP2">
        <v>0</v>
      </c>
      <c r="AQ2">
        <v>3</v>
      </c>
      <c r="AR2">
        <v>5</v>
      </c>
      <c r="AS2">
        <v>5</v>
      </c>
      <c r="AT2">
        <v>5</v>
      </c>
      <c r="AU2">
        <v>5</v>
      </c>
      <c r="AV2">
        <v>5</v>
      </c>
      <c r="AW2">
        <v>0</v>
      </c>
      <c r="AX2">
        <v>5</v>
      </c>
      <c r="AY2">
        <v>3</v>
      </c>
      <c r="AZ2">
        <v>5</v>
      </c>
      <c r="BA2">
        <v>3</v>
      </c>
      <c r="BB2">
        <v>5</v>
      </c>
      <c r="BC2">
        <v>3</v>
      </c>
      <c r="BD2">
        <v>0</v>
      </c>
      <c r="BE2">
        <v>5</v>
      </c>
      <c r="BF2">
        <v>5</v>
      </c>
      <c r="BG2">
        <v>5</v>
      </c>
      <c r="BH2">
        <v>5</v>
      </c>
      <c r="BI2">
        <v>5</v>
      </c>
      <c r="BJ2">
        <v>5</v>
      </c>
      <c r="BK2">
        <v>5</v>
      </c>
      <c r="BL2">
        <v>0</v>
      </c>
      <c r="BM2">
        <v>5</v>
      </c>
      <c r="BN2">
        <v>5</v>
      </c>
      <c r="BO2">
        <v>0</v>
      </c>
      <c r="BP2">
        <v>0</v>
      </c>
      <c r="BQ2">
        <v>0</v>
      </c>
      <c r="BR2">
        <v>5</v>
      </c>
      <c r="BS2">
        <v>5</v>
      </c>
      <c r="BT2">
        <v>5</v>
      </c>
      <c r="BU2">
        <v>5</v>
      </c>
      <c r="BV2">
        <v>5</v>
      </c>
      <c r="BW2">
        <v>3</v>
      </c>
      <c r="BX2">
        <v>5</v>
      </c>
      <c r="BY2">
        <v>5</v>
      </c>
      <c r="BZ2">
        <v>5</v>
      </c>
      <c r="CA2">
        <v>5</v>
      </c>
      <c r="CB2">
        <v>3</v>
      </c>
      <c r="CC2">
        <v>0</v>
      </c>
      <c r="CD2">
        <v>3</v>
      </c>
      <c r="CE2">
        <v>5</v>
      </c>
      <c r="CF2">
        <v>3</v>
      </c>
      <c r="CG2">
        <v>3</v>
      </c>
      <c r="CH2">
        <v>5</v>
      </c>
      <c r="CI2">
        <v>0</v>
      </c>
      <c r="CJ2">
        <v>5</v>
      </c>
      <c r="CK2">
        <v>5</v>
      </c>
      <c r="CL2">
        <v>0</v>
      </c>
      <c r="CM2">
        <v>5</v>
      </c>
      <c r="CN2">
        <v>3</v>
      </c>
      <c r="CO2">
        <v>5</v>
      </c>
      <c r="CP2">
        <v>3</v>
      </c>
      <c r="CQ2">
        <v>5</v>
      </c>
      <c r="CR2">
        <v>5</v>
      </c>
      <c r="CS2">
        <v>3</v>
      </c>
      <c r="CT2">
        <v>5</v>
      </c>
      <c r="CU2">
        <v>3</v>
      </c>
      <c r="CV2">
        <v>0</v>
      </c>
      <c r="CW2">
        <v>3</v>
      </c>
      <c r="CX2">
        <v>5</v>
      </c>
      <c r="CY2">
        <v>5</v>
      </c>
      <c r="CZ2">
        <v>5</v>
      </c>
      <c r="DA2">
        <v>0</v>
      </c>
      <c r="DB2">
        <v>5</v>
      </c>
      <c r="DC2">
        <v>0</v>
      </c>
      <c r="DD2">
        <v>5</v>
      </c>
      <c r="DE2">
        <v>0</v>
      </c>
      <c r="DF2" s="42">
        <v>328</v>
      </c>
    </row>
    <row r="3" spans="1:110" x14ac:dyDescent="0.3">
      <c r="A3" s="1">
        <v>43494.692835648151</v>
      </c>
      <c r="B3" t="s">
        <v>449</v>
      </c>
      <c r="C3" s="2">
        <v>43494</v>
      </c>
      <c r="D3" t="s">
        <v>453</v>
      </c>
      <c r="E3" t="s">
        <v>449</v>
      </c>
      <c r="F3" t="s">
        <v>450</v>
      </c>
      <c r="G3" t="s">
        <v>28</v>
      </c>
      <c r="H3" t="s">
        <v>454</v>
      </c>
      <c r="I3">
        <v>3</v>
      </c>
      <c r="J3">
        <v>12960</v>
      </c>
      <c r="K3">
        <v>2</v>
      </c>
      <c r="L3" t="s">
        <v>455</v>
      </c>
      <c r="M3" s="62" t="s">
        <v>456</v>
      </c>
      <c r="N3">
        <v>5</v>
      </c>
      <c r="O3">
        <v>0</v>
      </c>
      <c r="P3">
        <v>0</v>
      </c>
      <c r="Q3">
        <v>3</v>
      </c>
      <c r="R3">
        <v>0</v>
      </c>
      <c r="S3">
        <v>5</v>
      </c>
      <c r="T3">
        <v>3</v>
      </c>
      <c r="U3">
        <v>5</v>
      </c>
      <c r="V3">
        <v>5</v>
      </c>
      <c r="W3">
        <v>5</v>
      </c>
      <c r="X3">
        <v>5</v>
      </c>
      <c r="Y3">
        <v>5</v>
      </c>
      <c r="Z3">
        <v>3</v>
      </c>
      <c r="AA3">
        <v>3</v>
      </c>
      <c r="AB3">
        <v>0</v>
      </c>
      <c r="AC3">
        <v>3</v>
      </c>
      <c r="AD3">
        <v>0</v>
      </c>
      <c r="AE3">
        <v>0</v>
      </c>
      <c r="AF3">
        <v>0</v>
      </c>
      <c r="AG3">
        <v>5</v>
      </c>
      <c r="AH3">
        <v>0</v>
      </c>
      <c r="AI3">
        <v>3</v>
      </c>
      <c r="AJ3">
        <v>3</v>
      </c>
      <c r="AK3">
        <v>3</v>
      </c>
      <c r="AL3">
        <v>5</v>
      </c>
      <c r="AM3">
        <v>3</v>
      </c>
      <c r="AN3">
        <v>0</v>
      </c>
      <c r="AO3">
        <v>5</v>
      </c>
      <c r="AP3">
        <v>0</v>
      </c>
      <c r="AQ3">
        <v>3</v>
      </c>
      <c r="AR3">
        <v>0</v>
      </c>
      <c r="AS3">
        <v>0</v>
      </c>
      <c r="AT3">
        <v>3</v>
      </c>
      <c r="AU3">
        <v>5</v>
      </c>
      <c r="AV3">
        <v>5</v>
      </c>
      <c r="AW3">
        <v>0</v>
      </c>
      <c r="AX3">
        <v>5</v>
      </c>
      <c r="AY3">
        <v>5</v>
      </c>
      <c r="AZ3">
        <v>5</v>
      </c>
      <c r="BA3">
        <v>0</v>
      </c>
      <c r="BB3">
        <v>5</v>
      </c>
      <c r="BC3">
        <v>3</v>
      </c>
      <c r="BD3">
        <v>0</v>
      </c>
      <c r="BE3">
        <v>3</v>
      </c>
      <c r="BF3">
        <v>3</v>
      </c>
      <c r="BG3">
        <v>5</v>
      </c>
      <c r="BH3">
        <v>0</v>
      </c>
      <c r="BI3">
        <v>5</v>
      </c>
      <c r="BJ3">
        <v>3</v>
      </c>
      <c r="BK3">
        <v>5</v>
      </c>
      <c r="BL3">
        <v>0</v>
      </c>
      <c r="BM3">
        <v>3</v>
      </c>
      <c r="BN3">
        <v>3</v>
      </c>
      <c r="BO3">
        <v>0</v>
      </c>
      <c r="BP3">
        <v>0</v>
      </c>
      <c r="BQ3">
        <v>5</v>
      </c>
      <c r="BR3">
        <v>5</v>
      </c>
      <c r="BS3">
        <v>5</v>
      </c>
      <c r="BT3">
        <v>5</v>
      </c>
      <c r="BU3">
        <v>5</v>
      </c>
      <c r="BV3">
        <v>5</v>
      </c>
      <c r="BW3">
        <v>3</v>
      </c>
      <c r="BX3">
        <v>5</v>
      </c>
      <c r="BY3">
        <v>5</v>
      </c>
      <c r="BZ3">
        <v>5</v>
      </c>
      <c r="CA3">
        <v>5</v>
      </c>
      <c r="CB3">
        <v>0</v>
      </c>
      <c r="CC3">
        <v>0</v>
      </c>
      <c r="CD3">
        <v>0</v>
      </c>
      <c r="CE3">
        <v>5</v>
      </c>
      <c r="CF3">
        <v>5</v>
      </c>
      <c r="CG3">
        <v>3</v>
      </c>
      <c r="CH3">
        <v>5</v>
      </c>
      <c r="CI3">
        <v>5</v>
      </c>
      <c r="CJ3">
        <v>5</v>
      </c>
      <c r="CK3">
        <v>3</v>
      </c>
      <c r="CL3">
        <v>0</v>
      </c>
      <c r="CM3">
        <v>5</v>
      </c>
      <c r="CN3">
        <v>5</v>
      </c>
      <c r="CO3">
        <v>0</v>
      </c>
      <c r="CP3">
        <v>5</v>
      </c>
      <c r="CQ3">
        <v>5</v>
      </c>
      <c r="CR3">
        <v>5</v>
      </c>
      <c r="CS3">
        <v>5</v>
      </c>
      <c r="CT3">
        <v>5</v>
      </c>
      <c r="CU3">
        <v>3</v>
      </c>
      <c r="CV3">
        <v>0</v>
      </c>
      <c r="CW3">
        <v>5</v>
      </c>
      <c r="CX3">
        <v>5</v>
      </c>
      <c r="CY3">
        <v>0</v>
      </c>
      <c r="CZ3">
        <v>0</v>
      </c>
      <c r="DA3">
        <v>0</v>
      </c>
      <c r="DB3">
        <v>5</v>
      </c>
      <c r="DC3">
        <v>5</v>
      </c>
      <c r="DD3">
        <v>3</v>
      </c>
      <c r="DE3">
        <v>5</v>
      </c>
      <c r="DF3" s="43">
        <v>296</v>
      </c>
    </row>
  </sheetData>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CreateWord">
                <anchor moveWithCells="1" sizeWithCells="1">
                  <from>
                    <xdr:col>0</xdr:col>
                    <xdr:colOff>175260</xdr:colOff>
                    <xdr:row>0</xdr:row>
                    <xdr:rowOff>2019300</xdr:rowOff>
                  </from>
                  <to>
                    <xdr:col>1</xdr:col>
                    <xdr:colOff>647700</xdr:colOff>
                    <xdr:row>0</xdr:row>
                    <xdr:rowOff>2446020</xdr:rowOff>
                  </to>
                </anchor>
              </controlPr>
            </control>
          </mc:Choice>
        </mc:AlternateContent>
        <mc:AlternateContent xmlns:mc="http://schemas.openxmlformats.org/markup-compatibility/2006">
          <mc:Choice Requires="x14">
            <control shapeId="1028" r:id="rId5" name="Button 4">
              <controlPr defaultSize="0" print="0" autoFill="0" autoPict="0" macro="[0]!clearFields">
                <anchor moveWithCells="1" sizeWithCells="1">
                  <from>
                    <xdr:col>0</xdr:col>
                    <xdr:colOff>175260</xdr:colOff>
                    <xdr:row>0</xdr:row>
                    <xdr:rowOff>1440180</xdr:rowOff>
                  </from>
                  <to>
                    <xdr:col>1</xdr:col>
                    <xdr:colOff>647700</xdr:colOff>
                    <xdr:row>0</xdr:row>
                    <xdr:rowOff>1866900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S98"/>
  <sheetViews>
    <sheetView workbookViewId="0">
      <selection activeCell="F3" sqref="F3:F98"/>
    </sheetView>
  </sheetViews>
  <sheetFormatPr defaultColWidth="8.88671875" defaultRowHeight="14.4" x14ac:dyDescent="0.3"/>
  <cols>
    <col min="1" max="1" width="12.5546875" style="3" customWidth="1"/>
    <col min="2" max="2" width="9.5546875" style="3" bestFit="1" customWidth="1"/>
    <col min="3" max="3" width="4.6640625" style="3" customWidth="1"/>
    <col min="4" max="4" width="2.88671875" style="3" customWidth="1"/>
    <col min="5" max="5" width="112.33203125" style="3" bestFit="1" customWidth="1"/>
    <col min="6" max="6" width="8.88671875" style="35"/>
    <col min="7" max="7" width="13" style="3" customWidth="1"/>
    <col min="8" max="8" width="13.88671875" style="45" bestFit="1" customWidth="1"/>
    <col min="9" max="10" width="8.88671875" style="3"/>
    <col min="11" max="11" width="8.88671875" style="45"/>
    <col min="12" max="12" width="8.88671875" style="4"/>
    <col min="13" max="13" width="87" style="3" bestFit="1" customWidth="1"/>
    <col min="14" max="14" width="76.33203125" style="3" customWidth="1"/>
    <col min="15" max="16384" width="8.88671875" style="3"/>
  </cols>
  <sheetData>
    <row r="1" spans="1:45" s="50" customFormat="1" x14ac:dyDescent="0.3">
      <c r="F1" s="51"/>
      <c r="G1" s="50">
        <v>1035</v>
      </c>
      <c r="H1" s="52">
        <f>INT(((SUM(H3:H98))/G1)*100)</f>
        <v>61</v>
      </c>
      <c r="I1" s="53"/>
      <c r="J1" s="53"/>
      <c r="K1" s="54"/>
      <c r="L1" s="55"/>
      <c r="M1" s="50" t="s">
        <v>451</v>
      </c>
      <c r="N1" s="50" t="s">
        <v>452</v>
      </c>
      <c r="O1" s="50" t="s">
        <v>451</v>
      </c>
      <c r="AS1" s="50" t="s">
        <v>452</v>
      </c>
    </row>
    <row r="2" spans="1:45" s="26" customFormat="1" ht="58.2" thickBot="1" x14ac:dyDescent="0.35">
      <c r="B2" s="26" t="s">
        <v>111</v>
      </c>
      <c r="C2" s="30" t="s">
        <v>112</v>
      </c>
      <c r="E2" s="26" t="s">
        <v>113</v>
      </c>
      <c r="F2" s="36" t="s">
        <v>114</v>
      </c>
      <c r="G2" s="27" t="s">
        <v>115</v>
      </c>
      <c r="H2" s="44" t="s">
        <v>440</v>
      </c>
      <c r="I2" s="27" t="s">
        <v>116</v>
      </c>
      <c r="J2" s="27" t="s">
        <v>117</v>
      </c>
      <c r="K2" s="47"/>
      <c r="L2" s="28"/>
      <c r="M2" s="29" t="s">
        <v>118</v>
      </c>
      <c r="N2" s="29" t="s">
        <v>119</v>
      </c>
      <c r="O2" s="26" t="s">
        <v>120</v>
      </c>
    </row>
    <row r="3" spans="1:45" ht="14.4" customHeight="1" x14ac:dyDescent="0.3">
      <c r="A3" s="56" t="s">
        <v>121</v>
      </c>
      <c r="B3" s="6">
        <v>1</v>
      </c>
      <c r="C3" s="6" t="s">
        <v>122</v>
      </c>
      <c r="D3" s="31"/>
      <c r="E3" s="6" t="s">
        <v>123</v>
      </c>
      <c r="F3">
        <v>5</v>
      </c>
      <c r="G3" s="7">
        <v>1</v>
      </c>
      <c r="H3" s="45">
        <f t="shared" ref="H3:H58" si="0">G3*F3</f>
        <v>5</v>
      </c>
      <c r="I3" s="3">
        <f>SUM(H3:H16)</f>
        <v>82</v>
      </c>
      <c r="J3" s="3">
        <v>125</v>
      </c>
      <c r="K3" s="48">
        <f>INT((I3/J3)*100)</f>
        <v>65</v>
      </c>
      <c r="M3" s="8" t="s">
        <v>124</v>
      </c>
      <c r="O3" s="9" t="s">
        <v>125</v>
      </c>
      <c r="P3" s="6"/>
      <c r="Q3" s="6"/>
      <c r="R3" s="6"/>
      <c r="S3" s="6"/>
      <c r="T3" s="6"/>
      <c r="U3" s="6"/>
      <c r="V3" s="6"/>
      <c r="W3" s="6"/>
      <c r="X3" s="6"/>
      <c r="Y3" s="6"/>
      <c r="Z3" s="6"/>
      <c r="AA3" s="6"/>
      <c r="AB3" s="6"/>
      <c r="AC3" s="6"/>
      <c r="AD3" s="6"/>
      <c r="AE3" s="6"/>
      <c r="AF3" s="6"/>
      <c r="AG3" s="6"/>
      <c r="AH3" s="6"/>
      <c r="AI3" s="6"/>
      <c r="AJ3" s="6"/>
      <c r="AK3" s="6"/>
      <c r="AL3" s="6"/>
      <c r="AM3" s="6"/>
      <c r="AN3" s="6"/>
      <c r="AO3" s="6"/>
      <c r="AP3" s="6"/>
      <c r="AQ3" s="6"/>
      <c r="AR3" s="10"/>
    </row>
    <row r="4" spans="1:45" x14ac:dyDescent="0.3">
      <c r="A4" s="57"/>
      <c r="B4" s="3">
        <v>2</v>
      </c>
      <c r="C4" s="3" t="s">
        <v>126</v>
      </c>
      <c r="D4" s="32"/>
      <c r="E4" s="3" t="s">
        <v>127</v>
      </c>
      <c r="F4">
        <v>0</v>
      </c>
      <c r="G4" s="7">
        <v>2</v>
      </c>
      <c r="H4" s="45">
        <f t="shared" si="0"/>
        <v>0</v>
      </c>
      <c r="I4"/>
      <c r="J4"/>
      <c r="K4" s="46"/>
      <c r="M4" s="11" t="s">
        <v>128</v>
      </c>
      <c r="O4" s="12" t="s">
        <v>129</v>
      </c>
      <c r="AR4" s="7"/>
    </row>
    <row r="5" spans="1:45" x14ac:dyDescent="0.3">
      <c r="A5" s="57"/>
      <c r="B5" s="3">
        <v>3</v>
      </c>
      <c r="C5" s="5" t="s">
        <v>126</v>
      </c>
      <c r="D5" s="32"/>
      <c r="E5" s="3" t="s">
        <v>130</v>
      </c>
      <c r="F5">
        <v>0</v>
      </c>
      <c r="G5" s="7">
        <v>2</v>
      </c>
      <c r="H5" s="45">
        <f t="shared" si="0"/>
        <v>0</v>
      </c>
      <c r="I5"/>
      <c r="J5"/>
      <c r="K5" s="46"/>
      <c r="M5" s="11" t="s">
        <v>131</v>
      </c>
      <c r="O5" s="13" t="s">
        <v>132</v>
      </c>
      <c r="AR5" s="7"/>
    </row>
    <row r="6" spans="1:45" x14ac:dyDescent="0.3">
      <c r="A6" s="57"/>
      <c r="B6" s="3">
        <v>4</v>
      </c>
      <c r="C6" s="3" t="s">
        <v>122</v>
      </c>
      <c r="D6" s="32"/>
      <c r="E6" s="3" t="s">
        <v>133</v>
      </c>
      <c r="F6">
        <v>3</v>
      </c>
      <c r="G6" s="7">
        <v>2</v>
      </c>
      <c r="H6" s="45">
        <f t="shared" si="0"/>
        <v>6</v>
      </c>
      <c r="I6"/>
      <c r="J6"/>
      <c r="K6" s="46"/>
      <c r="M6" s="14" t="s">
        <v>134</v>
      </c>
      <c r="O6" s="13" t="s">
        <v>135</v>
      </c>
      <c r="AR6" s="7"/>
    </row>
    <row r="7" spans="1:45" x14ac:dyDescent="0.3">
      <c r="A7" s="57"/>
      <c r="B7" s="5">
        <v>5</v>
      </c>
      <c r="C7" s="5" t="s">
        <v>126</v>
      </c>
      <c r="D7" s="32"/>
      <c r="E7" s="5" t="s">
        <v>136</v>
      </c>
      <c r="F7">
        <v>0</v>
      </c>
      <c r="G7" s="15">
        <v>1</v>
      </c>
      <c r="H7" s="45">
        <f t="shared" si="0"/>
        <v>0</v>
      </c>
      <c r="I7"/>
      <c r="J7"/>
      <c r="K7" s="46"/>
      <c r="M7" s="14" t="s">
        <v>137</v>
      </c>
      <c r="O7" s="13" t="s">
        <v>138</v>
      </c>
      <c r="AR7" s="7"/>
    </row>
    <row r="8" spans="1:45" x14ac:dyDescent="0.3">
      <c r="A8" s="57"/>
      <c r="B8" s="5">
        <v>6</v>
      </c>
      <c r="C8" s="5" t="s">
        <v>126</v>
      </c>
      <c r="D8" s="32"/>
      <c r="E8" s="5" t="s">
        <v>139</v>
      </c>
      <c r="F8">
        <v>5</v>
      </c>
      <c r="G8" s="15">
        <v>1</v>
      </c>
      <c r="H8" s="45">
        <f t="shared" si="0"/>
        <v>5</v>
      </c>
      <c r="I8"/>
      <c r="J8"/>
      <c r="K8" s="46"/>
      <c r="M8" s="14" t="s">
        <v>140</v>
      </c>
      <c r="O8" s="13" t="s">
        <v>141</v>
      </c>
      <c r="AR8" s="7"/>
    </row>
    <row r="9" spans="1:45" x14ac:dyDescent="0.3">
      <c r="A9" s="57"/>
      <c r="B9" s="5">
        <v>7</v>
      </c>
      <c r="C9" s="5" t="s">
        <v>126</v>
      </c>
      <c r="D9" s="32"/>
      <c r="E9" s="5" t="s">
        <v>142</v>
      </c>
      <c r="F9">
        <v>3</v>
      </c>
      <c r="G9" s="15">
        <v>2</v>
      </c>
      <c r="H9" s="45">
        <f t="shared" si="0"/>
        <v>6</v>
      </c>
      <c r="I9"/>
      <c r="J9"/>
      <c r="K9" s="46"/>
      <c r="M9" s="14" t="s">
        <v>143</v>
      </c>
      <c r="O9" s="13" t="s">
        <v>144</v>
      </c>
      <c r="AR9" s="7"/>
    </row>
    <row r="10" spans="1:45" x14ac:dyDescent="0.3">
      <c r="A10" s="57"/>
      <c r="B10" s="5">
        <v>8</v>
      </c>
      <c r="C10" s="5" t="s">
        <v>126</v>
      </c>
      <c r="D10" s="32"/>
      <c r="E10" s="5" t="s">
        <v>145</v>
      </c>
      <c r="F10">
        <v>5</v>
      </c>
      <c r="G10" s="15">
        <v>2</v>
      </c>
      <c r="H10" s="45">
        <f t="shared" si="0"/>
        <v>10</v>
      </c>
      <c r="I10"/>
      <c r="J10"/>
      <c r="K10" s="46"/>
      <c r="M10" s="14" t="s">
        <v>146</v>
      </c>
      <c r="O10" s="13" t="s">
        <v>147</v>
      </c>
      <c r="AR10" s="7"/>
    </row>
    <row r="11" spans="1:45" x14ac:dyDescent="0.3">
      <c r="A11" s="57"/>
      <c r="B11" s="5">
        <v>9</v>
      </c>
      <c r="C11" s="5" t="s">
        <v>126</v>
      </c>
      <c r="D11" s="32"/>
      <c r="E11" s="5" t="s">
        <v>148</v>
      </c>
      <c r="F11">
        <v>5</v>
      </c>
      <c r="G11" s="15">
        <v>2</v>
      </c>
      <c r="H11" s="45">
        <f t="shared" si="0"/>
        <v>10</v>
      </c>
      <c r="I11"/>
      <c r="J11"/>
      <c r="K11" s="46"/>
      <c r="M11" s="14" t="s">
        <v>149</v>
      </c>
      <c r="O11" s="13" t="s">
        <v>150</v>
      </c>
      <c r="AR11" s="7"/>
    </row>
    <row r="12" spans="1:45" x14ac:dyDescent="0.3">
      <c r="A12" s="57"/>
      <c r="B12" s="5">
        <v>10</v>
      </c>
      <c r="C12" s="5" t="s">
        <v>126</v>
      </c>
      <c r="D12" s="32"/>
      <c r="E12" s="5" t="s">
        <v>151</v>
      </c>
      <c r="F12">
        <v>5</v>
      </c>
      <c r="G12" s="15">
        <v>2</v>
      </c>
      <c r="H12" s="45">
        <f t="shared" si="0"/>
        <v>10</v>
      </c>
      <c r="I12"/>
      <c r="J12"/>
      <c r="K12" s="46"/>
      <c r="M12" s="14" t="s">
        <v>152</v>
      </c>
      <c r="O12" s="13" t="s">
        <v>153</v>
      </c>
      <c r="AR12" s="7"/>
    </row>
    <row r="13" spans="1:45" x14ac:dyDescent="0.3">
      <c r="A13" s="57"/>
      <c r="B13" s="5">
        <v>11</v>
      </c>
      <c r="C13" s="5" t="s">
        <v>126</v>
      </c>
      <c r="D13" s="32"/>
      <c r="E13" s="5" t="s">
        <v>154</v>
      </c>
      <c r="F13">
        <v>5</v>
      </c>
      <c r="G13" s="15">
        <v>1</v>
      </c>
      <c r="H13" s="45">
        <f t="shared" si="0"/>
        <v>5</v>
      </c>
      <c r="I13"/>
      <c r="J13"/>
      <c r="K13" s="46"/>
      <c r="M13" s="14" t="s">
        <v>155</v>
      </c>
      <c r="O13" s="13" t="s">
        <v>156</v>
      </c>
      <c r="AR13" s="7"/>
    </row>
    <row r="14" spans="1:45" x14ac:dyDescent="0.3">
      <c r="A14" s="57"/>
      <c r="B14" s="5">
        <v>12</v>
      </c>
      <c r="C14" s="5" t="s">
        <v>122</v>
      </c>
      <c r="D14" s="32"/>
      <c r="E14" s="5" t="s">
        <v>157</v>
      </c>
      <c r="F14">
        <v>5</v>
      </c>
      <c r="G14" s="15">
        <v>2</v>
      </c>
      <c r="H14" s="45">
        <f t="shared" si="0"/>
        <v>10</v>
      </c>
      <c r="I14"/>
      <c r="J14"/>
      <c r="K14" s="46"/>
      <c r="M14" s="14" t="s">
        <v>158</v>
      </c>
      <c r="O14" s="13" t="s">
        <v>150</v>
      </c>
      <c r="AR14" s="7"/>
    </row>
    <row r="15" spans="1:45" x14ac:dyDescent="0.3">
      <c r="A15" s="57"/>
      <c r="B15" s="5">
        <v>13</v>
      </c>
      <c r="C15" s="5" t="s">
        <v>122</v>
      </c>
      <c r="D15" s="32"/>
      <c r="E15" s="5" t="s">
        <v>159</v>
      </c>
      <c r="F15">
        <v>3</v>
      </c>
      <c r="G15" s="15">
        <v>2</v>
      </c>
      <c r="H15" s="45">
        <f t="shared" si="0"/>
        <v>6</v>
      </c>
      <c r="I15"/>
      <c r="J15"/>
      <c r="K15" s="46"/>
      <c r="M15" s="14" t="s">
        <v>160</v>
      </c>
      <c r="O15" s="13" t="s">
        <v>161</v>
      </c>
      <c r="AR15" s="7"/>
    </row>
    <row r="16" spans="1:45" ht="15" thickBot="1" x14ac:dyDescent="0.35">
      <c r="A16" s="58"/>
      <c r="B16" s="16">
        <v>14</v>
      </c>
      <c r="C16" s="16" t="s">
        <v>122</v>
      </c>
      <c r="D16" s="33"/>
      <c r="E16" s="16" t="s">
        <v>162</v>
      </c>
      <c r="F16">
        <v>3</v>
      </c>
      <c r="G16" s="17">
        <v>3</v>
      </c>
      <c r="H16" s="45">
        <f t="shared" si="0"/>
        <v>9</v>
      </c>
      <c r="I16" s="18"/>
      <c r="J16" s="18"/>
      <c r="K16" s="49"/>
      <c r="M16" s="19" t="s">
        <v>163</v>
      </c>
      <c r="N16" s="3" t="s">
        <v>164</v>
      </c>
      <c r="O16" s="20" t="s">
        <v>165</v>
      </c>
      <c r="P16" s="18"/>
      <c r="Q16" s="18"/>
      <c r="R16" s="18"/>
      <c r="S16" s="18"/>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21"/>
      <c r="AS16" s="3" t="s">
        <v>166</v>
      </c>
    </row>
    <row r="17" spans="1:45" x14ac:dyDescent="0.3">
      <c r="A17" s="59" t="s">
        <v>167</v>
      </c>
      <c r="B17" s="5">
        <v>1</v>
      </c>
      <c r="C17" s="5" t="s">
        <v>126</v>
      </c>
      <c r="D17" s="32"/>
      <c r="E17" s="5" t="s">
        <v>168</v>
      </c>
      <c r="F17">
        <v>0</v>
      </c>
      <c r="G17" s="15">
        <v>3</v>
      </c>
      <c r="H17" s="45">
        <f t="shared" si="0"/>
        <v>0</v>
      </c>
      <c r="I17" s="6">
        <f>SUM(H17:H27)</f>
        <v>44</v>
      </c>
      <c r="J17" s="6">
        <v>120</v>
      </c>
      <c r="K17" s="48">
        <f>INT((I17/J17)*100)</f>
        <v>36</v>
      </c>
      <c r="M17" s="8" t="s">
        <v>169</v>
      </c>
      <c r="N17" s="3" t="s">
        <v>170</v>
      </c>
      <c r="O17" s="22" t="s">
        <v>171</v>
      </c>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10"/>
    </row>
    <row r="18" spans="1:45" x14ac:dyDescent="0.3">
      <c r="A18" s="60"/>
      <c r="B18" s="5">
        <v>2</v>
      </c>
      <c r="C18" s="5" t="s">
        <v>172</v>
      </c>
      <c r="D18" s="32"/>
      <c r="E18" s="5" t="s">
        <v>173</v>
      </c>
      <c r="F18">
        <v>3</v>
      </c>
      <c r="G18" s="15">
        <v>1</v>
      </c>
      <c r="H18" s="45">
        <f t="shared" si="0"/>
        <v>3</v>
      </c>
      <c r="I18"/>
      <c r="J18"/>
      <c r="K18" s="46"/>
      <c r="M18" s="11" t="s">
        <v>174</v>
      </c>
      <c r="O18" s="13" t="s">
        <v>175</v>
      </c>
      <c r="AR18" s="7"/>
    </row>
    <row r="19" spans="1:45" x14ac:dyDescent="0.3">
      <c r="A19" s="60"/>
      <c r="B19" s="5">
        <v>3</v>
      </c>
      <c r="C19" s="5" t="s">
        <v>172</v>
      </c>
      <c r="D19" s="32"/>
      <c r="E19" s="5" t="s">
        <v>176</v>
      </c>
      <c r="F19">
        <v>0</v>
      </c>
      <c r="G19" s="15">
        <v>1</v>
      </c>
      <c r="H19" s="45">
        <f t="shared" si="0"/>
        <v>0</v>
      </c>
      <c r="I19"/>
      <c r="J19"/>
      <c r="K19" s="46"/>
      <c r="M19" s="11" t="s">
        <v>177</v>
      </c>
      <c r="O19" s="13" t="s">
        <v>178</v>
      </c>
      <c r="AR19" s="7"/>
    </row>
    <row r="20" spans="1:45" x14ac:dyDescent="0.3">
      <c r="A20" s="60"/>
      <c r="B20" s="5">
        <v>4</v>
      </c>
      <c r="C20" s="5" t="s">
        <v>126</v>
      </c>
      <c r="D20" s="32"/>
      <c r="E20" s="5" t="s">
        <v>179</v>
      </c>
      <c r="F20">
        <v>0</v>
      </c>
      <c r="G20" s="15">
        <v>3</v>
      </c>
      <c r="H20" s="45">
        <f t="shared" si="0"/>
        <v>0</v>
      </c>
      <c r="I20"/>
      <c r="J20"/>
      <c r="K20" s="46"/>
      <c r="M20" s="11" t="s">
        <v>180</v>
      </c>
      <c r="N20" s="3" t="s">
        <v>170</v>
      </c>
      <c r="O20" s="13" t="s">
        <v>181</v>
      </c>
      <c r="AR20" s="7"/>
    </row>
    <row r="21" spans="1:45" x14ac:dyDescent="0.3">
      <c r="A21" s="60"/>
      <c r="B21" s="5">
        <v>5</v>
      </c>
      <c r="C21" s="5" t="s">
        <v>126</v>
      </c>
      <c r="D21" s="32"/>
      <c r="E21" s="5" t="s">
        <v>182</v>
      </c>
      <c r="F21">
        <v>0</v>
      </c>
      <c r="G21" s="15">
        <v>2</v>
      </c>
      <c r="H21" s="45">
        <f t="shared" si="0"/>
        <v>0</v>
      </c>
      <c r="I21"/>
      <c r="J21"/>
      <c r="K21" s="46"/>
      <c r="M21" s="11" t="s">
        <v>183</v>
      </c>
      <c r="O21" s="13" t="s">
        <v>184</v>
      </c>
      <c r="AR21" s="7"/>
    </row>
    <row r="22" spans="1:45" x14ac:dyDescent="0.3">
      <c r="A22" s="60"/>
      <c r="B22" s="5">
        <v>6</v>
      </c>
      <c r="C22" s="5" t="s">
        <v>126</v>
      </c>
      <c r="D22" s="32"/>
      <c r="E22" s="5" t="s">
        <v>185</v>
      </c>
      <c r="F22">
        <v>5</v>
      </c>
      <c r="G22" s="15">
        <v>2</v>
      </c>
      <c r="H22" s="45">
        <f t="shared" si="0"/>
        <v>10</v>
      </c>
      <c r="I22"/>
      <c r="J22"/>
      <c r="K22" s="46"/>
      <c r="M22" s="11" t="s">
        <v>186</v>
      </c>
      <c r="O22" s="13" t="s">
        <v>187</v>
      </c>
      <c r="AR22" s="7"/>
    </row>
    <row r="23" spans="1:45" x14ac:dyDescent="0.3">
      <c r="A23" s="60"/>
      <c r="B23" s="5">
        <v>7</v>
      </c>
      <c r="C23" s="5" t="s">
        <v>126</v>
      </c>
      <c r="D23" s="32"/>
      <c r="E23" s="5" t="s">
        <v>188</v>
      </c>
      <c r="F23">
        <v>0</v>
      </c>
      <c r="G23" s="15">
        <v>3</v>
      </c>
      <c r="H23" s="45">
        <f t="shared" si="0"/>
        <v>0</v>
      </c>
      <c r="I23"/>
      <c r="J23"/>
      <c r="K23" s="46"/>
      <c r="M23" s="11" t="s">
        <v>189</v>
      </c>
      <c r="N23" s="3" t="s">
        <v>190</v>
      </c>
      <c r="O23" s="13" t="s">
        <v>191</v>
      </c>
      <c r="AR23" s="7"/>
    </row>
    <row r="24" spans="1:45" x14ac:dyDescent="0.3">
      <c r="A24" s="60"/>
      <c r="B24" s="5">
        <v>8</v>
      </c>
      <c r="C24" s="5" t="s">
        <v>126</v>
      </c>
      <c r="D24" s="32"/>
      <c r="E24" s="5" t="s">
        <v>192</v>
      </c>
      <c r="F24">
        <v>3</v>
      </c>
      <c r="G24" s="15">
        <v>3</v>
      </c>
      <c r="H24" s="45">
        <f t="shared" si="0"/>
        <v>9</v>
      </c>
      <c r="I24"/>
      <c r="J24"/>
      <c r="K24" s="46"/>
      <c r="M24" s="11" t="s">
        <v>193</v>
      </c>
      <c r="N24" s="3" t="s">
        <v>170</v>
      </c>
      <c r="O24" s="13" t="s">
        <v>194</v>
      </c>
      <c r="AR24" s="7"/>
    </row>
    <row r="25" spans="1:45" x14ac:dyDescent="0.3">
      <c r="A25" s="60"/>
      <c r="B25" s="5">
        <v>9</v>
      </c>
      <c r="C25" s="5" t="s">
        <v>172</v>
      </c>
      <c r="D25" s="32"/>
      <c r="E25" s="5" t="s">
        <v>195</v>
      </c>
      <c r="F25">
        <v>3</v>
      </c>
      <c r="G25" s="15">
        <v>2</v>
      </c>
      <c r="H25" s="45">
        <f t="shared" si="0"/>
        <v>6</v>
      </c>
      <c r="I25"/>
      <c r="J25"/>
      <c r="K25" s="46"/>
      <c r="M25" s="11" t="s">
        <v>196</v>
      </c>
      <c r="O25" s="13" t="s">
        <v>197</v>
      </c>
      <c r="AR25" s="7"/>
    </row>
    <row r="26" spans="1:45" x14ac:dyDescent="0.3">
      <c r="A26" s="60"/>
      <c r="B26" s="5">
        <v>10</v>
      </c>
      <c r="C26" s="5" t="s">
        <v>126</v>
      </c>
      <c r="D26" s="32"/>
      <c r="E26" s="5" t="s">
        <v>198</v>
      </c>
      <c r="F26">
        <v>3</v>
      </c>
      <c r="G26" s="15">
        <v>2</v>
      </c>
      <c r="H26" s="45">
        <f t="shared" si="0"/>
        <v>6</v>
      </c>
      <c r="I26"/>
      <c r="J26"/>
      <c r="K26" s="46"/>
      <c r="M26" s="11" t="s">
        <v>199</v>
      </c>
      <c r="O26" s="13" t="s">
        <v>200</v>
      </c>
      <c r="AR26" s="7"/>
    </row>
    <row r="27" spans="1:45" ht="15" thickBot="1" x14ac:dyDescent="0.35">
      <c r="A27" s="61"/>
      <c r="B27" s="16">
        <v>11</v>
      </c>
      <c r="C27" s="16" t="s">
        <v>122</v>
      </c>
      <c r="D27" s="33"/>
      <c r="E27" s="16" t="s">
        <v>201</v>
      </c>
      <c r="F27">
        <v>5</v>
      </c>
      <c r="G27" s="17">
        <v>2</v>
      </c>
      <c r="H27" s="45">
        <f t="shared" si="0"/>
        <v>10</v>
      </c>
      <c r="I27" s="18"/>
      <c r="J27" s="18"/>
      <c r="K27" s="49"/>
      <c r="M27" s="23" t="s">
        <v>202</v>
      </c>
      <c r="O27" s="20" t="s">
        <v>203</v>
      </c>
      <c r="P27" s="18"/>
      <c r="Q27" s="18"/>
      <c r="R27" s="18"/>
      <c r="S27" s="18"/>
      <c r="T27" s="18"/>
      <c r="U27" s="18"/>
      <c r="V27" s="18"/>
      <c r="W27" s="18"/>
      <c r="X27" s="18"/>
      <c r="Y27" s="18"/>
      <c r="Z27" s="18"/>
      <c r="AA27" s="18"/>
      <c r="AB27" s="18"/>
      <c r="AC27" s="18"/>
      <c r="AD27" s="18"/>
      <c r="AE27" s="18"/>
      <c r="AF27" s="18"/>
      <c r="AG27" s="18"/>
      <c r="AH27" s="18"/>
      <c r="AI27" s="18"/>
      <c r="AJ27" s="18"/>
      <c r="AK27" s="18"/>
      <c r="AL27" s="18"/>
      <c r="AM27" s="18"/>
      <c r="AN27" s="18"/>
      <c r="AO27" s="18"/>
      <c r="AP27" s="18"/>
      <c r="AQ27" s="18"/>
      <c r="AR27" s="21"/>
    </row>
    <row r="28" spans="1:45" x14ac:dyDescent="0.3">
      <c r="A28" s="56" t="s">
        <v>204</v>
      </c>
      <c r="B28" s="24">
        <v>1</v>
      </c>
      <c r="C28" s="6" t="s">
        <v>126</v>
      </c>
      <c r="D28" s="34"/>
      <c r="E28" s="6" t="s">
        <v>205</v>
      </c>
      <c r="F28">
        <v>3</v>
      </c>
      <c r="G28" s="10">
        <v>3</v>
      </c>
      <c r="H28" s="45">
        <f t="shared" si="0"/>
        <v>9</v>
      </c>
      <c r="I28" s="3">
        <f>SUM(H28:H58)</f>
        <v>197</v>
      </c>
      <c r="J28" s="3">
        <v>355</v>
      </c>
      <c r="K28" s="48">
        <f>INT((I28/J28)*100)</f>
        <v>55</v>
      </c>
      <c r="M28" s="8" t="s">
        <v>206</v>
      </c>
      <c r="N28" s="3" t="s">
        <v>207</v>
      </c>
      <c r="O28" s="13" t="s">
        <v>208</v>
      </c>
      <c r="AS28" s="3" t="s">
        <v>209</v>
      </c>
    </row>
    <row r="29" spans="1:45" x14ac:dyDescent="0.3">
      <c r="A29" s="57"/>
      <c r="B29" s="5">
        <v>2</v>
      </c>
      <c r="C29" s="5" t="s">
        <v>126</v>
      </c>
      <c r="D29" s="32"/>
      <c r="E29" s="5" t="s">
        <v>210</v>
      </c>
      <c r="F29">
        <v>0</v>
      </c>
      <c r="G29" s="7">
        <v>3</v>
      </c>
      <c r="H29" s="45">
        <f t="shared" si="0"/>
        <v>0</v>
      </c>
      <c r="I29"/>
      <c r="J29"/>
      <c r="K29" s="46"/>
      <c r="M29" s="11" t="s">
        <v>211</v>
      </c>
      <c r="N29" s="3" t="s">
        <v>170</v>
      </c>
      <c r="O29" s="13" t="s">
        <v>212</v>
      </c>
    </row>
    <row r="30" spans="1:45" x14ac:dyDescent="0.3">
      <c r="A30" s="57"/>
      <c r="B30" s="5">
        <v>3</v>
      </c>
      <c r="C30" s="5" t="s">
        <v>213</v>
      </c>
      <c r="D30" s="32"/>
      <c r="E30" s="5" t="s">
        <v>214</v>
      </c>
      <c r="F30">
        <v>5</v>
      </c>
      <c r="G30" s="7">
        <v>2</v>
      </c>
      <c r="H30" s="45">
        <f t="shared" si="0"/>
        <v>10</v>
      </c>
      <c r="I30"/>
      <c r="J30"/>
      <c r="K30" s="46"/>
      <c r="M30" s="11" t="s">
        <v>215</v>
      </c>
      <c r="N30" s="3" t="str">
        <f>IF(G30=3,x,"")</f>
        <v/>
      </c>
      <c r="O30" s="13" t="s">
        <v>216</v>
      </c>
    </row>
    <row r="31" spans="1:45" x14ac:dyDescent="0.3">
      <c r="A31" s="57"/>
      <c r="B31" s="5">
        <v>4</v>
      </c>
      <c r="C31" s="5" t="s">
        <v>172</v>
      </c>
      <c r="D31" s="32"/>
      <c r="E31" s="5" t="s">
        <v>217</v>
      </c>
      <c r="F31">
        <v>0</v>
      </c>
      <c r="G31" s="7">
        <v>2</v>
      </c>
      <c r="H31" s="45">
        <f t="shared" si="0"/>
        <v>0</v>
      </c>
      <c r="I31"/>
      <c r="J31"/>
      <c r="K31" s="46"/>
      <c r="M31" s="11" t="s">
        <v>218</v>
      </c>
      <c r="N31" s="3" t="str">
        <f>IF(G31=3,x,"")</f>
        <v/>
      </c>
      <c r="O31" s="13" t="s">
        <v>219</v>
      </c>
    </row>
    <row r="32" spans="1:45" x14ac:dyDescent="0.3">
      <c r="A32" s="57"/>
      <c r="B32" s="5">
        <v>5</v>
      </c>
      <c r="C32" s="5" t="s">
        <v>126</v>
      </c>
      <c r="D32" s="32"/>
      <c r="E32" s="5" t="s">
        <v>220</v>
      </c>
      <c r="F32">
        <v>3</v>
      </c>
      <c r="G32" s="7">
        <v>2</v>
      </c>
      <c r="H32" s="45">
        <f t="shared" si="0"/>
        <v>6</v>
      </c>
      <c r="I32"/>
      <c r="J32"/>
      <c r="K32" s="46"/>
      <c r="M32" s="11" t="s">
        <v>221</v>
      </c>
      <c r="N32" s="3" t="str">
        <f>IF(G32=3,x,"")</f>
        <v/>
      </c>
      <c r="O32" s="13" t="s">
        <v>222</v>
      </c>
    </row>
    <row r="33" spans="1:45" x14ac:dyDescent="0.3">
      <c r="A33" s="57"/>
      <c r="B33" s="5">
        <v>6</v>
      </c>
      <c r="C33" s="5" t="s">
        <v>126</v>
      </c>
      <c r="D33" s="32"/>
      <c r="E33" s="5" t="s">
        <v>223</v>
      </c>
      <c r="F33">
        <v>0</v>
      </c>
      <c r="G33" s="7">
        <v>2</v>
      </c>
      <c r="H33" s="45">
        <f t="shared" si="0"/>
        <v>0</v>
      </c>
      <c r="I33"/>
      <c r="M33" s="11" t="s">
        <v>224</v>
      </c>
      <c r="N33" s="3" t="str">
        <f>IF(G33=3,x,"")</f>
        <v/>
      </c>
      <c r="O33" s="13" t="s">
        <v>225</v>
      </c>
    </row>
    <row r="34" spans="1:45" x14ac:dyDescent="0.3">
      <c r="A34" s="57"/>
      <c r="B34" s="5">
        <v>7</v>
      </c>
      <c r="C34" s="5" t="s">
        <v>172</v>
      </c>
      <c r="D34" s="32"/>
      <c r="E34" s="5" t="s">
        <v>226</v>
      </c>
      <c r="F34">
        <v>0</v>
      </c>
      <c r="G34" s="7">
        <v>2</v>
      </c>
      <c r="H34" s="45">
        <f t="shared" si="0"/>
        <v>0</v>
      </c>
      <c r="I34"/>
      <c r="M34" s="11" t="s">
        <v>227</v>
      </c>
      <c r="N34" s="3" t="str">
        <f>IF(G34=3,x,"")</f>
        <v/>
      </c>
      <c r="O34" s="13" t="s">
        <v>228</v>
      </c>
    </row>
    <row r="35" spans="1:45" x14ac:dyDescent="0.3">
      <c r="A35" s="57"/>
      <c r="B35" s="5">
        <v>8</v>
      </c>
      <c r="C35" s="5" t="s">
        <v>122</v>
      </c>
      <c r="D35" s="32"/>
      <c r="E35" s="5" t="s">
        <v>229</v>
      </c>
      <c r="F35">
        <v>3</v>
      </c>
      <c r="G35" s="7">
        <v>3</v>
      </c>
      <c r="H35" s="45">
        <f t="shared" si="0"/>
        <v>9</v>
      </c>
      <c r="I35"/>
      <c r="M35" s="11" t="s">
        <v>230</v>
      </c>
      <c r="N35" s="3" t="s">
        <v>231</v>
      </c>
      <c r="O35" s="13" t="s">
        <v>232</v>
      </c>
      <c r="AS35" s="3" t="s">
        <v>233</v>
      </c>
    </row>
    <row r="36" spans="1:45" x14ac:dyDescent="0.3">
      <c r="A36" s="57"/>
      <c r="B36" s="5">
        <v>9</v>
      </c>
      <c r="C36" s="5" t="s">
        <v>126</v>
      </c>
      <c r="D36" s="32"/>
      <c r="E36" s="5" t="s">
        <v>234</v>
      </c>
      <c r="F36">
        <v>5</v>
      </c>
      <c r="G36" s="7">
        <v>3</v>
      </c>
      <c r="H36" s="45">
        <f t="shared" si="0"/>
        <v>15</v>
      </c>
      <c r="I36"/>
      <c r="M36" s="11" t="s">
        <v>235</v>
      </c>
      <c r="N36" s="3" t="s">
        <v>170</v>
      </c>
      <c r="O36" s="13" t="s">
        <v>236</v>
      </c>
    </row>
    <row r="37" spans="1:45" x14ac:dyDescent="0.3">
      <c r="A37" s="57"/>
      <c r="B37" s="5">
        <v>10</v>
      </c>
      <c r="C37" s="5" t="s">
        <v>126</v>
      </c>
      <c r="D37" s="32"/>
      <c r="E37" s="5" t="s">
        <v>237</v>
      </c>
      <c r="F37">
        <v>5</v>
      </c>
      <c r="G37" s="7">
        <v>3</v>
      </c>
      <c r="H37" s="45">
        <f t="shared" si="0"/>
        <v>15</v>
      </c>
      <c r="I37"/>
      <c r="M37" s="11" t="s">
        <v>238</v>
      </c>
      <c r="N37" s="3" t="s">
        <v>170</v>
      </c>
      <c r="O37" s="13" t="s">
        <v>239</v>
      </c>
    </row>
    <row r="38" spans="1:45" x14ac:dyDescent="0.3">
      <c r="A38" s="57"/>
      <c r="B38" s="5">
        <v>11</v>
      </c>
      <c r="C38" s="5" t="s">
        <v>126</v>
      </c>
      <c r="D38" s="32"/>
      <c r="E38" s="5" t="s">
        <v>240</v>
      </c>
      <c r="F38">
        <v>0</v>
      </c>
      <c r="G38" s="7">
        <v>3</v>
      </c>
      <c r="H38" s="45">
        <f t="shared" si="0"/>
        <v>0</v>
      </c>
      <c r="I38"/>
      <c r="M38" s="11" t="s">
        <v>241</v>
      </c>
      <c r="N38" s="5" t="s">
        <v>170</v>
      </c>
      <c r="O38" s="13" t="s">
        <v>242</v>
      </c>
    </row>
    <row r="39" spans="1:45" x14ac:dyDescent="0.3">
      <c r="A39" s="57"/>
      <c r="B39" s="5">
        <v>12</v>
      </c>
      <c r="C39" s="5" t="s">
        <v>126</v>
      </c>
      <c r="D39" s="32"/>
      <c r="E39" s="5" t="s">
        <v>243</v>
      </c>
      <c r="F39">
        <v>5</v>
      </c>
      <c r="G39" s="7">
        <v>3</v>
      </c>
      <c r="H39" s="45">
        <f t="shared" si="0"/>
        <v>15</v>
      </c>
      <c r="I39"/>
      <c r="M39" s="11" t="s">
        <v>244</v>
      </c>
      <c r="N39" s="3" t="s">
        <v>245</v>
      </c>
      <c r="O39" s="13" t="s">
        <v>246</v>
      </c>
    </row>
    <row r="40" spans="1:45" x14ac:dyDescent="0.3">
      <c r="A40" s="57"/>
      <c r="B40" s="5">
        <v>13</v>
      </c>
      <c r="C40" s="5" t="s">
        <v>126</v>
      </c>
      <c r="D40" s="32"/>
      <c r="E40" s="5" t="s">
        <v>247</v>
      </c>
      <c r="F40">
        <v>5</v>
      </c>
      <c r="G40" s="7">
        <v>1</v>
      </c>
      <c r="H40" s="45">
        <f t="shared" si="0"/>
        <v>5</v>
      </c>
      <c r="I40"/>
      <c r="M40" s="11" t="s">
        <v>248</v>
      </c>
      <c r="N40" s="3" t="str">
        <f>IF(G40=3,x,"")</f>
        <v/>
      </c>
      <c r="O40" s="13" t="s">
        <v>249</v>
      </c>
    </row>
    <row r="41" spans="1:45" x14ac:dyDescent="0.3">
      <c r="A41" s="57"/>
      <c r="B41" s="5">
        <v>14</v>
      </c>
      <c r="C41" s="5" t="s">
        <v>126</v>
      </c>
      <c r="D41" s="32"/>
      <c r="E41" s="5" t="s">
        <v>250</v>
      </c>
      <c r="F41">
        <v>5</v>
      </c>
      <c r="G41" s="7">
        <v>3</v>
      </c>
      <c r="H41" s="45">
        <f t="shared" si="0"/>
        <v>15</v>
      </c>
      <c r="I41"/>
      <c r="M41" s="11" t="s">
        <v>251</v>
      </c>
      <c r="O41" s="13" t="s">
        <v>252</v>
      </c>
    </row>
    <row r="42" spans="1:45" x14ac:dyDescent="0.3">
      <c r="A42" s="57"/>
      <c r="B42" s="5">
        <v>15</v>
      </c>
      <c r="C42" s="5" t="s">
        <v>172</v>
      </c>
      <c r="D42" s="32"/>
      <c r="E42" s="5" t="s">
        <v>253</v>
      </c>
      <c r="F42">
        <v>0</v>
      </c>
      <c r="G42" s="7">
        <v>3</v>
      </c>
      <c r="H42" s="45">
        <f t="shared" si="0"/>
        <v>0</v>
      </c>
      <c r="I42"/>
      <c r="M42" s="11" t="s">
        <v>254</v>
      </c>
      <c r="N42" s="3" t="s">
        <v>255</v>
      </c>
      <c r="O42" s="13" t="s">
        <v>256</v>
      </c>
    </row>
    <row r="43" spans="1:45" x14ac:dyDescent="0.3">
      <c r="A43" s="57"/>
      <c r="B43" s="5">
        <v>16</v>
      </c>
      <c r="C43" s="5" t="s">
        <v>126</v>
      </c>
      <c r="D43" s="32"/>
      <c r="E43" s="5" t="s">
        <v>257</v>
      </c>
      <c r="F43">
        <v>5</v>
      </c>
      <c r="G43" s="7">
        <v>3</v>
      </c>
      <c r="H43" s="45">
        <f t="shared" si="0"/>
        <v>15</v>
      </c>
      <c r="I43"/>
      <c r="M43" s="11" t="s">
        <v>258</v>
      </c>
      <c r="N43" s="3" t="s">
        <v>259</v>
      </c>
      <c r="O43" s="13" t="s">
        <v>260</v>
      </c>
    </row>
    <row r="44" spans="1:45" x14ac:dyDescent="0.3">
      <c r="A44" s="57"/>
      <c r="B44" s="5">
        <v>17</v>
      </c>
      <c r="C44" s="5" t="s">
        <v>126</v>
      </c>
      <c r="D44" s="32"/>
      <c r="E44" s="5" t="s">
        <v>261</v>
      </c>
      <c r="F44">
        <v>3</v>
      </c>
      <c r="G44" s="7">
        <v>2</v>
      </c>
      <c r="H44" s="45">
        <f t="shared" si="0"/>
        <v>6</v>
      </c>
      <c r="I44"/>
      <c r="M44" s="11" t="s">
        <v>262</v>
      </c>
      <c r="N44" s="3" t="str">
        <f>IF(G44=3,x,"")</f>
        <v/>
      </c>
      <c r="O44" s="13" t="s">
        <v>263</v>
      </c>
    </row>
    <row r="45" spans="1:45" x14ac:dyDescent="0.3">
      <c r="A45" s="57"/>
      <c r="B45" s="5">
        <v>18</v>
      </c>
      <c r="C45" s="5" t="s">
        <v>126</v>
      </c>
      <c r="D45" s="32"/>
      <c r="E45" s="5" t="s">
        <v>264</v>
      </c>
      <c r="F45">
        <v>0</v>
      </c>
      <c r="G45" s="7">
        <v>3</v>
      </c>
      <c r="H45" s="45">
        <f t="shared" si="0"/>
        <v>0</v>
      </c>
      <c r="I45"/>
      <c r="M45" s="11" t="s">
        <v>265</v>
      </c>
      <c r="N45" s="3" t="s">
        <v>266</v>
      </c>
      <c r="O45" s="13" t="s">
        <v>267</v>
      </c>
    </row>
    <row r="46" spans="1:45" x14ac:dyDescent="0.3">
      <c r="A46" s="57"/>
      <c r="B46" s="5">
        <v>19</v>
      </c>
      <c r="C46" s="5" t="s">
        <v>172</v>
      </c>
      <c r="D46" s="32"/>
      <c r="E46" s="5" t="s">
        <v>268</v>
      </c>
      <c r="F46">
        <v>3</v>
      </c>
      <c r="G46" s="7">
        <v>3</v>
      </c>
      <c r="H46" s="45">
        <f t="shared" si="0"/>
        <v>9</v>
      </c>
      <c r="I46"/>
      <c r="M46" s="11" t="s">
        <v>269</v>
      </c>
      <c r="N46" s="3" t="s">
        <v>270</v>
      </c>
      <c r="O46" s="13" t="s">
        <v>271</v>
      </c>
      <c r="AS46" s="3" t="s">
        <v>272</v>
      </c>
    </row>
    <row r="47" spans="1:45" x14ac:dyDescent="0.3">
      <c r="A47" s="57"/>
      <c r="B47" s="5">
        <v>20</v>
      </c>
      <c r="C47" s="5" t="s">
        <v>126</v>
      </c>
      <c r="D47" s="32"/>
      <c r="E47" s="5" t="s">
        <v>273</v>
      </c>
      <c r="F47">
        <v>3</v>
      </c>
      <c r="G47" s="7">
        <v>1</v>
      </c>
      <c r="H47" s="45">
        <f t="shared" si="0"/>
        <v>3</v>
      </c>
      <c r="I47"/>
      <c r="M47" s="11" t="s">
        <v>274</v>
      </c>
      <c r="N47" s="3" t="str">
        <f>IF(G47=3,x,"")</f>
        <v/>
      </c>
      <c r="O47" s="13" t="s">
        <v>275</v>
      </c>
    </row>
    <row r="48" spans="1:45" x14ac:dyDescent="0.3">
      <c r="A48" s="57"/>
      <c r="B48" s="5">
        <v>21</v>
      </c>
      <c r="C48" s="5" t="s">
        <v>126</v>
      </c>
      <c r="D48" s="32"/>
      <c r="E48" s="5" t="s">
        <v>276</v>
      </c>
      <c r="F48">
        <v>5</v>
      </c>
      <c r="G48" s="7">
        <v>3</v>
      </c>
      <c r="H48" s="45">
        <f t="shared" si="0"/>
        <v>15</v>
      </c>
      <c r="I48"/>
      <c r="M48" s="11" t="s">
        <v>277</v>
      </c>
      <c r="N48" s="5" t="s">
        <v>170</v>
      </c>
      <c r="O48" s="13" t="s">
        <v>278</v>
      </c>
    </row>
    <row r="49" spans="1:15" x14ac:dyDescent="0.3">
      <c r="A49" s="57"/>
      <c r="B49" s="5">
        <v>22</v>
      </c>
      <c r="C49" s="5" t="s">
        <v>172</v>
      </c>
      <c r="D49" s="32"/>
      <c r="E49" s="5" t="s">
        <v>279</v>
      </c>
      <c r="F49">
        <v>0</v>
      </c>
      <c r="G49" s="7">
        <v>2</v>
      </c>
      <c r="H49" s="45">
        <f t="shared" si="0"/>
        <v>0</v>
      </c>
      <c r="I49"/>
      <c r="J49"/>
      <c r="K49" s="46"/>
      <c r="M49" s="11" t="s">
        <v>280</v>
      </c>
      <c r="N49" s="3" t="str">
        <f>IF(G49=3,x,"")</f>
        <v/>
      </c>
      <c r="O49" s="13" t="s">
        <v>281</v>
      </c>
    </row>
    <row r="50" spans="1:15" x14ac:dyDescent="0.3">
      <c r="A50" s="57"/>
      <c r="B50" s="5">
        <v>23</v>
      </c>
      <c r="C50" s="5" t="s">
        <v>172</v>
      </c>
      <c r="D50" s="32"/>
      <c r="E50" s="5" t="s">
        <v>282</v>
      </c>
      <c r="F50">
        <v>5</v>
      </c>
      <c r="G50" s="7">
        <v>2</v>
      </c>
      <c r="H50" s="45">
        <f t="shared" si="0"/>
        <v>10</v>
      </c>
      <c r="I50"/>
      <c r="J50"/>
      <c r="K50" s="46"/>
      <c r="M50" s="11" t="s">
        <v>283</v>
      </c>
      <c r="N50" s="3" t="str">
        <f>IF(G50=3,x,"")</f>
        <v/>
      </c>
      <c r="O50" s="13" t="s">
        <v>284</v>
      </c>
    </row>
    <row r="51" spans="1:15" x14ac:dyDescent="0.3">
      <c r="A51" s="57"/>
      <c r="B51" s="5">
        <v>24</v>
      </c>
      <c r="C51" s="5" t="s">
        <v>172</v>
      </c>
      <c r="D51" s="32"/>
      <c r="E51" s="5" t="s">
        <v>285</v>
      </c>
      <c r="F51">
        <v>3</v>
      </c>
      <c r="G51" s="7">
        <v>2</v>
      </c>
      <c r="H51" s="45">
        <f t="shared" si="0"/>
        <v>6</v>
      </c>
      <c r="I51"/>
      <c r="J51"/>
      <c r="K51" s="46"/>
      <c r="M51" s="11" t="s">
        <v>286</v>
      </c>
      <c r="N51" s="3" t="str">
        <f>IF(G51=3,x,"")</f>
        <v/>
      </c>
      <c r="O51" s="13" t="s">
        <v>287</v>
      </c>
    </row>
    <row r="52" spans="1:15" x14ac:dyDescent="0.3">
      <c r="A52" s="57"/>
      <c r="B52" s="5">
        <v>25</v>
      </c>
      <c r="C52" s="5" t="s">
        <v>126</v>
      </c>
      <c r="D52" s="32"/>
      <c r="E52" s="5" t="s">
        <v>288</v>
      </c>
      <c r="F52">
        <v>5</v>
      </c>
      <c r="G52" s="7">
        <v>2</v>
      </c>
      <c r="H52" s="45">
        <f t="shared" si="0"/>
        <v>10</v>
      </c>
      <c r="I52"/>
      <c r="J52"/>
      <c r="K52" s="46"/>
      <c r="M52" s="11" t="s">
        <v>289</v>
      </c>
      <c r="N52" s="3" t="str">
        <f>IF(G52=3,x,"")</f>
        <v/>
      </c>
      <c r="O52" s="13" t="s">
        <v>290</v>
      </c>
    </row>
    <row r="53" spans="1:15" x14ac:dyDescent="0.3">
      <c r="A53" s="57"/>
      <c r="B53" s="5">
        <v>26</v>
      </c>
      <c r="C53" s="5" t="s">
        <v>126</v>
      </c>
      <c r="D53" s="32"/>
      <c r="E53" s="5" t="s">
        <v>291</v>
      </c>
      <c r="F53">
        <v>0</v>
      </c>
      <c r="G53" s="7">
        <v>2</v>
      </c>
      <c r="H53" s="45">
        <f t="shared" si="0"/>
        <v>0</v>
      </c>
      <c r="I53"/>
      <c r="J53"/>
      <c r="K53" s="46"/>
      <c r="M53" s="11" t="s">
        <v>292</v>
      </c>
      <c r="N53" s="3" t="str">
        <f>IF(G53=3,x,"")</f>
        <v/>
      </c>
      <c r="O53" s="13" t="s">
        <v>293</v>
      </c>
    </row>
    <row r="54" spans="1:15" x14ac:dyDescent="0.3">
      <c r="A54" s="57"/>
      <c r="B54" s="5">
        <v>27</v>
      </c>
      <c r="C54" s="5" t="s">
        <v>126</v>
      </c>
      <c r="D54" s="32"/>
      <c r="E54" s="5" t="s">
        <v>294</v>
      </c>
      <c r="F54">
        <v>3</v>
      </c>
      <c r="G54" s="7">
        <v>2</v>
      </c>
      <c r="H54" s="45">
        <f t="shared" si="0"/>
        <v>6</v>
      </c>
      <c r="I54"/>
      <c r="J54"/>
      <c r="K54" s="46"/>
      <c r="M54" s="11" t="s">
        <v>295</v>
      </c>
      <c r="N54" s="3" t="str">
        <f>IF(G54=3,x,"")</f>
        <v/>
      </c>
      <c r="O54" s="13" t="s">
        <v>296</v>
      </c>
    </row>
    <row r="55" spans="1:15" x14ac:dyDescent="0.3">
      <c r="A55" s="57"/>
      <c r="B55" s="5">
        <v>28</v>
      </c>
      <c r="C55" s="5" t="s">
        <v>126</v>
      </c>
      <c r="D55" s="32"/>
      <c r="E55" s="5" t="s">
        <v>297</v>
      </c>
      <c r="F55">
        <v>3</v>
      </c>
      <c r="G55" s="7">
        <v>1</v>
      </c>
      <c r="H55" s="45">
        <f t="shared" si="0"/>
        <v>3</v>
      </c>
      <c r="I55"/>
      <c r="J55"/>
      <c r="K55" s="46"/>
      <c r="M55" s="11" t="s">
        <v>298</v>
      </c>
      <c r="N55" s="3" t="str">
        <f>IF(G55=3,x,"")</f>
        <v/>
      </c>
      <c r="O55" s="13" t="s">
        <v>299</v>
      </c>
    </row>
    <row r="56" spans="1:15" x14ac:dyDescent="0.3">
      <c r="A56" s="57"/>
      <c r="B56" s="5">
        <v>29</v>
      </c>
      <c r="C56" s="5" t="s">
        <v>126</v>
      </c>
      <c r="D56" s="32"/>
      <c r="E56" s="5" t="s">
        <v>300</v>
      </c>
      <c r="F56">
        <v>0</v>
      </c>
      <c r="G56" s="7">
        <v>1</v>
      </c>
      <c r="H56" s="45">
        <f t="shared" si="0"/>
        <v>0</v>
      </c>
      <c r="I56"/>
      <c r="J56"/>
      <c r="K56" s="46"/>
      <c r="M56" s="11" t="s">
        <v>301</v>
      </c>
      <c r="N56" s="3" t="str">
        <f>IF(G56=3,x,"")</f>
        <v/>
      </c>
      <c r="O56" s="13" t="s">
        <v>302</v>
      </c>
    </row>
    <row r="57" spans="1:15" x14ac:dyDescent="0.3">
      <c r="A57" s="57"/>
      <c r="B57" s="5">
        <v>30</v>
      </c>
      <c r="C57" s="5" t="s">
        <v>126</v>
      </c>
      <c r="D57" s="32"/>
      <c r="E57" s="3" t="s">
        <v>303</v>
      </c>
      <c r="F57">
        <v>0</v>
      </c>
      <c r="G57" s="7">
        <v>1</v>
      </c>
      <c r="H57" s="45">
        <f t="shared" si="0"/>
        <v>0</v>
      </c>
      <c r="I57"/>
      <c r="J57"/>
      <c r="K57" s="46"/>
      <c r="M57" s="11" t="s">
        <v>304</v>
      </c>
      <c r="N57" s="3" t="str">
        <f>IF(G57=3,x,"")</f>
        <v/>
      </c>
      <c r="O57" s="13" t="s">
        <v>305</v>
      </c>
    </row>
    <row r="58" spans="1:15" ht="15" thickBot="1" x14ac:dyDescent="0.35">
      <c r="A58" s="58"/>
      <c r="B58" s="5">
        <v>31</v>
      </c>
      <c r="C58" s="18" t="s">
        <v>126</v>
      </c>
      <c r="D58" s="33"/>
      <c r="E58" s="18" t="s">
        <v>306</v>
      </c>
      <c r="F58">
        <v>5</v>
      </c>
      <c r="G58" s="21">
        <v>3</v>
      </c>
      <c r="H58" s="45">
        <f t="shared" si="0"/>
        <v>15</v>
      </c>
      <c r="I58"/>
      <c r="J58"/>
      <c r="K58" s="46"/>
      <c r="M58" s="23" t="s">
        <v>307</v>
      </c>
      <c r="N58" s="3" t="s">
        <v>170</v>
      </c>
      <c r="O58" s="13" t="s">
        <v>308</v>
      </c>
    </row>
    <row r="59" spans="1:15" x14ac:dyDescent="0.3">
      <c r="A59" s="56" t="s">
        <v>442</v>
      </c>
      <c r="B59" s="24">
        <v>1</v>
      </c>
      <c r="C59" s="24" t="s">
        <v>126</v>
      </c>
      <c r="D59" s="34"/>
      <c r="E59" s="24" t="s">
        <v>309</v>
      </c>
      <c r="F59">
        <v>5</v>
      </c>
      <c r="G59" s="25">
        <v>3</v>
      </c>
      <c r="H59" s="45">
        <f t="shared" ref="H59:H92" si="1">G59*F59</f>
        <v>15</v>
      </c>
      <c r="I59" s="6">
        <f>SUM(H59:H70)</f>
        <v>106</v>
      </c>
      <c r="J59" s="6">
        <v>126</v>
      </c>
      <c r="K59" s="48">
        <f>INT((I59/J59)*100)</f>
        <v>84</v>
      </c>
      <c r="M59" s="8" t="s">
        <v>310</v>
      </c>
      <c r="N59" s="3" t="s">
        <v>170</v>
      </c>
      <c r="O59" s="5" t="s">
        <v>311</v>
      </c>
    </row>
    <row r="60" spans="1:15" x14ac:dyDescent="0.3">
      <c r="A60" s="57"/>
      <c r="B60" s="5">
        <v>2</v>
      </c>
      <c r="C60" s="5" t="s">
        <v>213</v>
      </c>
      <c r="D60" s="32"/>
      <c r="E60" s="5" t="s">
        <v>312</v>
      </c>
      <c r="F60">
        <v>5</v>
      </c>
      <c r="G60" s="15">
        <v>2</v>
      </c>
      <c r="H60" s="45">
        <f t="shared" si="1"/>
        <v>10</v>
      </c>
      <c r="I60"/>
      <c r="J60"/>
      <c r="K60" s="46"/>
      <c r="M60" s="11" t="s">
        <v>313</v>
      </c>
      <c r="N60" s="3" t="str">
        <f>IF(G60=3,x,"")</f>
        <v/>
      </c>
      <c r="O60" s="5" t="s">
        <v>314</v>
      </c>
    </row>
    <row r="61" spans="1:15" x14ac:dyDescent="0.3">
      <c r="A61" s="57"/>
      <c r="B61" s="5">
        <v>3</v>
      </c>
      <c r="C61" s="5" t="s">
        <v>126</v>
      </c>
      <c r="D61" s="32"/>
      <c r="E61" s="5" t="s">
        <v>315</v>
      </c>
      <c r="F61">
        <v>5</v>
      </c>
      <c r="G61" s="15">
        <v>2</v>
      </c>
      <c r="H61" s="45">
        <f t="shared" si="1"/>
        <v>10</v>
      </c>
      <c r="I61"/>
      <c r="J61"/>
      <c r="K61" s="46"/>
      <c r="M61" s="11" t="s">
        <v>316</v>
      </c>
      <c r="N61" s="3" t="str">
        <f>IF(G61=3,x,"")</f>
        <v/>
      </c>
      <c r="O61" s="5" t="s">
        <v>317</v>
      </c>
    </row>
    <row r="62" spans="1:15" x14ac:dyDescent="0.3">
      <c r="A62" s="57"/>
      <c r="B62" s="5">
        <v>4</v>
      </c>
      <c r="C62" s="5" t="s">
        <v>126</v>
      </c>
      <c r="D62" s="32"/>
      <c r="E62" s="5" t="s">
        <v>318</v>
      </c>
      <c r="F62">
        <v>5</v>
      </c>
      <c r="G62" s="15">
        <v>2</v>
      </c>
      <c r="H62" s="45">
        <f t="shared" si="1"/>
        <v>10</v>
      </c>
      <c r="I62"/>
      <c r="J62"/>
      <c r="K62" s="46"/>
      <c r="M62" s="11" t="s">
        <v>319</v>
      </c>
      <c r="N62" s="3" t="str">
        <f>IF(G62=3,x,"")</f>
        <v/>
      </c>
      <c r="O62" s="5" t="s">
        <v>320</v>
      </c>
    </row>
    <row r="63" spans="1:15" x14ac:dyDescent="0.3">
      <c r="A63" s="57"/>
      <c r="B63" s="5">
        <v>5</v>
      </c>
      <c r="C63" s="5" t="s">
        <v>126</v>
      </c>
      <c r="D63" s="32"/>
      <c r="E63" s="5" t="s">
        <v>321</v>
      </c>
      <c r="F63">
        <v>5</v>
      </c>
      <c r="G63" s="15">
        <v>2</v>
      </c>
      <c r="H63" s="45">
        <f t="shared" si="1"/>
        <v>10</v>
      </c>
      <c r="I63"/>
      <c r="J63"/>
      <c r="K63" s="46"/>
      <c r="M63" s="11" t="s">
        <v>322</v>
      </c>
      <c r="N63" s="3" t="str">
        <f>IF(G63=3,x,"")</f>
        <v/>
      </c>
      <c r="O63" s="5" t="s">
        <v>323</v>
      </c>
    </row>
    <row r="64" spans="1:15" x14ac:dyDescent="0.3">
      <c r="A64" s="57"/>
      <c r="B64" s="5">
        <v>6</v>
      </c>
      <c r="C64" s="5" t="s">
        <v>126</v>
      </c>
      <c r="D64" s="32"/>
      <c r="E64" s="5" t="s">
        <v>324</v>
      </c>
      <c r="F64">
        <v>3</v>
      </c>
      <c r="G64" s="15">
        <v>2</v>
      </c>
      <c r="H64" s="45">
        <f t="shared" si="1"/>
        <v>6</v>
      </c>
      <c r="I64"/>
      <c r="J64"/>
      <c r="K64" s="46"/>
      <c r="M64" s="11" t="s">
        <v>325</v>
      </c>
      <c r="N64" s="3" t="str">
        <f>IF(G64=3,x,"")</f>
        <v/>
      </c>
      <c r="O64" s="5" t="s">
        <v>326</v>
      </c>
    </row>
    <row r="65" spans="1:15" x14ac:dyDescent="0.3">
      <c r="A65" s="57"/>
      <c r="B65" s="5">
        <v>7</v>
      </c>
      <c r="C65" s="5" t="s">
        <v>126</v>
      </c>
      <c r="D65" s="32"/>
      <c r="E65" s="5" t="s">
        <v>327</v>
      </c>
      <c r="F65">
        <v>5</v>
      </c>
      <c r="G65" s="15">
        <v>2</v>
      </c>
      <c r="H65" s="45">
        <f t="shared" si="1"/>
        <v>10</v>
      </c>
      <c r="I65"/>
      <c r="J65"/>
      <c r="K65" s="46"/>
      <c r="M65" s="11" t="s">
        <v>328</v>
      </c>
      <c r="N65" s="3" t="str">
        <f>IF(G65=3,x,"")</f>
        <v/>
      </c>
      <c r="O65" s="5" t="s">
        <v>317</v>
      </c>
    </row>
    <row r="66" spans="1:15" x14ac:dyDescent="0.3">
      <c r="A66" s="57"/>
      <c r="B66" s="5">
        <v>8</v>
      </c>
      <c r="C66" s="5" t="s">
        <v>126</v>
      </c>
      <c r="D66" s="32"/>
      <c r="E66" s="5" t="s">
        <v>329</v>
      </c>
      <c r="F66">
        <v>5</v>
      </c>
      <c r="G66" s="15">
        <v>3</v>
      </c>
      <c r="H66" s="45">
        <f t="shared" si="1"/>
        <v>15</v>
      </c>
      <c r="I66"/>
      <c r="J66"/>
      <c r="K66" s="46"/>
      <c r="M66" s="11" t="s">
        <v>330</v>
      </c>
      <c r="N66" s="3" t="s">
        <v>331</v>
      </c>
      <c r="O66" s="5" t="s">
        <v>332</v>
      </c>
    </row>
    <row r="67" spans="1:15" x14ac:dyDescent="0.3">
      <c r="A67" s="57"/>
      <c r="B67" s="5">
        <v>9</v>
      </c>
      <c r="C67" s="5" t="s">
        <v>126</v>
      </c>
      <c r="D67" s="32"/>
      <c r="E67" s="5" t="s">
        <v>333</v>
      </c>
      <c r="F67">
        <v>5</v>
      </c>
      <c r="G67" s="15">
        <v>1</v>
      </c>
      <c r="H67" s="45">
        <f t="shared" si="1"/>
        <v>5</v>
      </c>
      <c r="I67"/>
      <c r="J67"/>
      <c r="K67" s="46"/>
      <c r="M67" s="11" t="s">
        <v>334</v>
      </c>
      <c r="N67" s="3" t="str">
        <f>IF(G67=3,x,"")</f>
        <v/>
      </c>
      <c r="O67" s="5" t="s">
        <v>335</v>
      </c>
    </row>
    <row r="68" spans="1:15" x14ac:dyDescent="0.3">
      <c r="A68" s="57"/>
      <c r="B68" s="5">
        <v>10</v>
      </c>
      <c r="C68" s="5" t="s">
        <v>336</v>
      </c>
      <c r="D68" s="32"/>
      <c r="E68" s="5" t="s">
        <v>337</v>
      </c>
      <c r="F68">
        <v>5</v>
      </c>
      <c r="G68" s="15">
        <v>3</v>
      </c>
      <c r="H68" s="45">
        <f t="shared" si="1"/>
        <v>15</v>
      </c>
      <c r="I68"/>
      <c r="J68"/>
      <c r="K68" s="46"/>
      <c r="M68" s="11" t="s">
        <v>338</v>
      </c>
      <c r="O68" s="5" t="s">
        <v>339</v>
      </c>
    </row>
    <row r="69" spans="1:15" x14ac:dyDescent="0.3">
      <c r="A69" s="57"/>
      <c r="B69" s="5">
        <v>11</v>
      </c>
      <c r="C69" s="5" t="s">
        <v>122</v>
      </c>
      <c r="D69" s="32"/>
      <c r="E69" s="5" t="s">
        <v>340</v>
      </c>
      <c r="F69">
        <v>0</v>
      </c>
      <c r="G69" s="15">
        <v>3</v>
      </c>
      <c r="H69" s="45">
        <f t="shared" si="1"/>
        <v>0</v>
      </c>
      <c r="I69"/>
      <c r="J69"/>
      <c r="K69" s="46"/>
      <c r="M69" s="11" t="s">
        <v>341</v>
      </c>
      <c r="N69" s="3" t="s">
        <v>342</v>
      </c>
      <c r="O69" s="5" t="s">
        <v>343</v>
      </c>
    </row>
    <row r="70" spans="1:15" ht="15" thickBot="1" x14ac:dyDescent="0.35">
      <c r="A70" s="58"/>
      <c r="B70" s="5">
        <v>12</v>
      </c>
      <c r="C70" s="16" t="s">
        <v>344</v>
      </c>
      <c r="D70" s="33"/>
      <c r="E70" s="16" t="s">
        <v>345</v>
      </c>
      <c r="F70">
        <v>0</v>
      </c>
      <c r="G70" s="17">
        <v>1</v>
      </c>
      <c r="H70" s="45">
        <f t="shared" si="1"/>
        <v>0</v>
      </c>
      <c r="I70" s="18"/>
      <c r="J70" s="18"/>
      <c r="K70" s="49"/>
      <c r="M70" s="23" t="s">
        <v>346</v>
      </c>
      <c r="N70" s="3" t="str">
        <f>IF(G70=3,x,"")</f>
        <v/>
      </c>
      <c r="O70" s="5" t="s">
        <v>347</v>
      </c>
    </row>
    <row r="71" spans="1:15" x14ac:dyDescent="0.3">
      <c r="A71" s="56" t="s">
        <v>348</v>
      </c>
      <c r="B71" s="24">
        <v>1</v>
      </c>
      <c r="C71" s="6" t="s">
        <v>349</v>
      </c>
      <c r="D71" s="34"/>
      <c r="E71" s="6" t="s">
        <v>350</v>
      </c>
      <c r="F71">
        <v>0</v>
      </c>
      <c r="G71" s="10">
        <v>3</v>
      </c>
      <c r="H71" s="45">
        <f t="shared" si="1"/>
        <v>0</v>
      </c>
      <c r="I71" s="6">
        <f>SUM(H71:H86)</f>
        <v>142</v>
      </c>
      <c r="J71" s="6">
        <v>185</v>
      </c>
      <c r="K71" s="48">
        <f>INT((I71/J71)*100)</f>
        <v>76</v>
      </c>
      <c r="M71" s="8" t="s">
        <v>351</v>
      </c>
      <c r="N71" s="3" t="s">
        <v>352</v>
      </c>
      <c r="O71" s="5" t="s">
        <v>353</v>
      </c>
    </row>
    <row r="72" spans="1:15" x14ac:dyDescent="0.3">
      <c r="A72" s="57"/>
      <c r="B72" s="5">
        <v>2</v>
      </c>
      <c r="C72" s="5" t="s">
        <v>126</v>
      </c>
      <c r="D72" s="32"/>
      <c r="E72" s="5" t="s">
        <v>354</v>
      </c>
      <c r="F72">
        <v>5</v>
      </c>
      <c r="G72" s="7">
        <v>3</v>
      </c>
      <c r="H72" s="45">
        <f t="shared" si="1"/>
        <v>15</v>
      </c>
      <c r="I72"/>
      <c r="J72"/>
      <c r="K72" s="46"/>
      <c r="M72" s="11" t="s">
        <v>355</v>
      </c>
      <c r="O72" s="5" t="s">
        <v>356</v>
      </c>
    </row>
    <row r="73" spans="1:15" x14ac:dyDescent="0.3">
      <c r="A73" s="57"/>
      <c r="B73" s="5">
        <v>3</v>
      </c>
      <c r="C73" s="5" t="s">
        <v>126</v>
      </c>
      <c r="D73" s="32"/>
      <c r="E73" s="5" t="s">
        <v>357</v>
      </c>
      <c r="F73">
        <v>5</v>
      </c>
      <c r="G73" s="7">
        <v>3</v>
      </c>
      <c r="H73" s="45">
        <f t="shared" si="1"/>
        <v>15</v>
      </c>
      <c r="I73"/>
      <c r="J73"/>
      <c r="K73" s="46"/>
      <c r="M73" s="11" t="s">
        <v>358</v>
      </c>
      <c r="N73" s="3" t="s">
        <v>359</v>
      </c>
      <c r="O73" s="5" t="s">
        <v>360</v>
      </c>
    </row>
    <row r="74" spans="1:15" x14ac:dyDescent="0.3">
      <c r="A74" s="57"/>
      <c r="B74" s="5">
        <v>4</v>
      </c>
      <c r="C74" s="5" t="s">
        <v>126</v>
      </c>
      <c r="D74" s="32"/>
      <c r="E74" s="5" t="s">
        <v>361</v>
      </c>
      <c r="F74">
        <v>3</v>
      </c>
      <c r="G74" s="7">
        <v>1</v>
      </c>
      <c r="H74" s="45">
        <f t="shared" si="1"/>
        <v>3</v>
      </c>
      <c r="I74"/>
      <c r="J74"/>
      <c r="K74" s="46"/>
      <c r="M74" s="11" t="s">
        <v>362</v>
      </c>
      <c r="N74" s="3" t="str">
        <f>IF(G74=3,x,"")</f>
        <v/>
      </c>
      <c r="O74" s="5" t="s">
        <v>363</v>
      </c>
    </row>
    <row r="75" spans="1:15" x14ac:dyDescent="0.3">
      <c r="A75" s="57"/>
      <c r="B75" s="5">
        <v>5</v>
      </c>
      <c r="C75" s="5" t="s">
        <v>122</v>
      </c>
      <c r="D75" s="32"/>
      <c r="E75" s="5" t="s">
        <v>364</v>
      </c>
      <c r="F75">
        <v>5</v>
      </c>
      <c r="G75" s="7">
        <v>2</v>
      </c>
      <c r="H75" s="45">
        <f t="shared" si="1"/>
        <v>10</v>
      </c>
      <c r="I75"/>
      <c r="J75"/>
      <c r="K75" s="46"/>
      <c r="M75" s="11" t="s">
        <v>365</v>
      </c>
      <c r="N75" s="3" t="str">
        <f>IF(G75=3,x,"")</f>
        <v/>
      </c>
      <c r="O75" s="3" t="str">
        <f>O74</f>
        <v>Allowing enough time for effective cleaning and disinfection is vital to ensure a good clean is achieved.  Excessive pressure on turnaround times will be a false economy in the long run should established diseases from previous flocks be carried over into the new production cycle.</v>
      </c>
    </row>
    <row r="76" spans="1:15" x14ac:dyDescent="0.3">
      <c r="A76" s="57"/>
      <c r="B76" s="5">
        <v>6</v>
      </c>
      <c r="C76" s="5" t="s">
        <v>126</v>
      </c>
      <c r="D76" s="32"/>
      <c r="E76" s="5" t="s">
        <v>366</v>
      </c>
      <c r="F76">
        <v>5</v>
      </c>
      <c r="G76" s="7">
        <v>3</v>
      </c>
      <c r="H76" s="45">
        <f t="shared" si="1"/>
        <v>15</v>
      </c>
      <c r="I76"/>
      <c r="J76"/>
      <c r="K76" s="46"/>
      <c r="M76" s="11" t="s">
        <v>367</v>
      </c>
      <c r="N76" s="3" t="s">
        <v>368</v>
      </c>
      <c r="O76" s="5" t="s">
        <v>369</v>
      </c>
    </row>
    <row r="77" spans="1:15" x14ac:dyDescent="0.3">
      <c r="A77" s="57"/>
      <c r="B77" s="5">
        <v>7</v>
      </c>
      <c r="C77" s="5" t="s">
        <v>126</v>
      </c>
      <c r="D77" s="32"/>
      <c r="E77" s="5" t="s">
        <v>370</v>
      </c>
      <c r="F77">
        <v>5</v>
      </c>
      <c r="G77" s="7">
        <v>3</v>
      </c>
      <c r="H77" s="45">
        <f t="shared" si="1"/>
        <v>15</v>
      </c>
      <c r="I77"/>
      <c r="J77"/>
      <c r="K77" s="46"/>
      <c r="M77" s="11" t="s">
        <v>371</v>
      </c>
      <c r="N77" s="3" t="s">
        <v>372</v>
      </c>
      <c r="O77" s="5" t="s">
        <v>373</v>
      </c>
    </row>
    <row r="78" spans="1:15" x14ac:dyDescent="0.3">
      <c r="A78" s="57"/>
      <c r="B78" s="5">
        <v>8</v>
      </c>
      <c r="C78" s="5" t="s">
        <v>126</v>
      </c>
      <c r="D78" s="32"/>
      <c r="E78" s="5" t="s">
        <v>374</v>
      </c>
      <c r="F78">
        <v>3</v>
      </c>
      <c r="G78" s="7">
        <v>3</v>
      </c>
      <c r="H78" s="45">
        <f t="shared" si="1"/>
        <v>9</v>
      </c>
      <c r="I78"/>
      <c r="J78"/>
      <c r="K78" s="46"/>
      <c r="M78" s="11" t="s">
        <v>375</v>
      </c>
      <c r="N78" s="3" t="s">
        <v>376</v>
      </c>
      <c r="O78" s="5" t="s">
        <v>377</v>
      </c>
    </row>
    <row r="79" spans="1:15" x14ac:dyDescent="0.3">
      <c r="A79" s="57"/>
      <c r="B79" s="5">
        <v>9</v>
      </c>
      <c r="C79" s="5" t="s">
        <v>126</v>
      </c>
      <c r="D79" s="32"/>
      <c r="E79" s="5" t="s">
        <v>378</v>
      </c>
      <c r="F79">
        <v>0</v>
      </c>
      <c r="G79" s="7">
        <v>3</v>
      </c>
      <c r="H79" s="45">
        <f t="shared" si="1"/>
        <v>0</v>
      </c>
      <c r="I79"/>
      <c r="J79"/>
      <c r="K79" s="46"/>
      <c r="M79" s="11" t="s">
        <v>379</v>
      </c>
      <c r="N79" s="3" t="s">
        <v>380</v>
      </c>
      <c r="O79" s="5" t="s">
        <v>381</v>
      </c>
    </row>
    <row r="80" spans="1:15" x14ac:dyDescent="0.3">
      <c r="A80" s="57"/>
      <c r="B80" s="5">
        <v>10</v>
      </c>
      <c r="C80" s="5" t="s">
        <v>126</v>
      </c>
      <c r="D80" s="32"/>
      <c r="E80" s="5" t="s">
        <v>382</v>
      </c>
      <c r="F80">
        <v>5</v>
      </c>
      <c r="G80" s="7">
        <v>1</v>
      </c>
      <c r="H80" s="45">
        <f t="shared" si="1"/>
        <v>5</v>
      </c>
      <c r="I80"/>
      <c r="J80"/>
      <c r="K80" s="46"/>
      <c r="M80" s="11" t="s">
        <v>383</v>
      </c>
      <c r="N80" s="3" t="str">
        <f>IF(G80=3,x,"")</f>
        <v/>
      </c>
      <c r="O80" s="5" t="s">
        <v>384</v>
      </c>
    </row>
    <row r="81" spans="1:15" x14ac:dyDescent="0.3">
      <c r="A81" s="57"/>
      <c r="B81" s="5">
        <v>11</v>
      </c>
      <c r="C81" s="5" t="s">
        <v>126</v>
      </c>
      <c r="D81" s="32"/>
      <c r="E81" s="5" t="s">
        <v>385</v>
      </c>
      <c r="F81">
        <v>5</v>
      </c>
      <c r="G81" s="7">
        <v>2</v>
      </c>
      <c r="H81" s="45">
        <f t="shared" si="1"/>
        <v>10</v>
      </c>
      <c r="I81"/>
      <c r="J81"/>
      <c r="K81" s="46"/>
      <c r="M81" s="11" t="s">
        <v>386</v>
      </c>
      <c r="N81" s="3" t="str">
        <f>IF(G81=3,x,"")</f>
        <v/>
      </c>
      <c r="O81" s="5" t="s">
        <v>387</v>
      </c>
    </row>
    <row r="82" spans="1:15" x14ac:dyDescent="0.3">
      <c r="A82" s="57"/>
      <c r="B82" s="5">
        <v>12</v>
      </c>
      <c r="C82" s="5" t="s">
        <v>126</v>
      </c>
      <c r="D82" s="32"/>
      <c r="E82" s="5" t="s">
        <v>388</v>
      </c>
      <c r="F82">
        <v>0</v>
      </c>
      <c r="G82" s="7">
        <v>1</v>
      </c>
      <c r="H82" s="45">
        <f t="shared" si="1"/>
        <v>0</v>
      </c>
      <c r="I82"/>
      <c r="J82"/>
      <c r="K82" s="46"/>
      <c r="M82" s="11" t="s">
        <v>389</v>
      </c>
      <c r="N82" s="3" t="str">
        <f>IF(G82=3,x,"")</f>
        <v/>
      </c>
      <c r="O82" s="5" t="s">
        <v>384</v>
      </c>
    </row>
    <row r="83" spans="1:15" x14ac:dyDescent="0.3">
      <c r="A83" s="57"/>
      <c r="B83" s="5">
        <v>13</v>
      </c>
      <c r="C83" s="5" t="s">
        <v>126</v>
      </c>
      <c r="D83" s="32"/>
      <c r="E83" s="5" t="s">
        <v>390</v>
      </c>
      <c r="F83">
        <v>5</v>
      </c>
      <c r="G83" s="7">
        <v>3</v>
      </c>
      <c r="H83" s="45">
        <f t="shared" si="1"/>
        <v>15</v>
      </c>
      <c r="I83"/>
      <c r="J83"/>
      <c r="K83" s="46"/>
      <c r="M83" s="11" t="s">
        <v>391</v>
      </c>
      <c r="O83" s="5" t="s">
        <v>392</v>
      </c>
    </row>
    <row r="84" spans="1:15" x14ac:dyDescent="0.3">
      <c r="A84" s="57"/>
      <c r="B84" s="5">
        <v>14</v>
      </c>
      <c r="C84" s="5" t="s">
        <v>126</v>
      </c>
      <c r="D84" s="32"/>
      <c r="E84" s="5" t="s">
        <v>393</v>
      </c>
      <c r="F84">
        <v>5</v>
      </c>
      <c r="G84" s="7">
        <v>2</v>
      </c>
      <c r="H84" s="45">
        <f t="shared" si="1"/>
        <v>10</v>
      </c>
      <c r="I84"/>
      <c r="J84"/>
      <c r="K84" s="46"/>
      <c r="M84" s="11" t="s">
        <v>394</v>
      </c>
      <c r="N84" s="3" t="str">
        <f>IF(G84=3,x,"")</f>
        <v/>
      </c>
      <c r="O84" s="5" t="s">
        <v>395</v>
      </c>
    </row>
    <row r="85" spans="1:15" x14ac:dyDescent="0.3">
      <c r="A85" s="57"/>
      <c r="B85" s="5">
        <v>15</v>
      </c>
      <c r="C85" s="5" t="s">
        <v>126</v>
      </c>
      <c r="D85" s="32"/>
      <c r="E85" s="5" t="s">
        <v>396</v>
      </c>
      <c r="F85">
        <v>5</v>
      </c>
      <c r="G85" s="7">
        <v>1</v>
      </c>
      <c r="H85" s="45">
        <f t="shared" si="1"/>
        <v>5</v>
      </c>
      <c r="I85"/>
      <c r="J85"/>
      <c r="K85" s="46"/>
      <c r="M85" s="11" t="s">
        <v>397</v>
      </c>
      <c r="N85" s="3" t="str">
        <f>IF(G85=3,x,"")</f>
        <v/>
      </c>
      <c r="O85" s="5" t="s">
        <v>384</v>
      </c>
    </row>
    <row r="86" spans="1:15" ht="15" thickBot="1" x14ac:dyDescent="0.35">
      <c r="A86" s="58"/>
      <c r="B86" s="16">
        <v>16</v>
      </c>
      <c r="C86" s="5" t="s">
        <v>126</v>
      </c>
      <c r="D86" s="32"/>
      <c r="E86" s="18" t="s">
        <v>398</v>
      </c>
      <c r="F86">
        <v>5</v>
      </c>
      <c r="G86" s="21">
        <v>3</v>
      </c>
      <c r="H86" s="45">
        <f t="shared" si="1"/>
        <v>15</v>
      </c>
      <c r="I86" s="18"/>
      <c r="J86" s="18"/>
      <c r="K86" s="49"/>
      <c r="M86" s="23" t="s">
        <v>399</v>
      </c>
      <c r="O86" s="5" t="s">
        <v>400</v>
      </c>
    </row>
    <row r="87" spans="1:15" x14ac:dyDescent="0.3">
      <c r="A87" s="56" t="s">
        <v>401</v>
      </c>
      <c r="B87" s="24">
        <v>1</v>
      </c>
      <c r="C87" s="6" t="s">
        <v>126</v>
      </c>
      <c r="D87" s="34"/>
      <c r="E87" s="6" t="s">
        <v>402</v>
      </c>
      <c r="F87">
        <v>5</v>
      </c>
      <c r="G87" s="10">
        <v>2</v>
      </c>
      <c r="H87" s="45">
        <f t="shared" si="1"/>
        <v>10</v>
      </c>
      <c r="I87" s="3">
        <f>SUM(H87:H92)</f>
        <v>33</v>
      </c>
      <c r="J87" s="3">
        <v>55</v>
      </c>
      <c r="K87" s="48">
        <f>INT((I87/J87)*100)</f>
        <v>60</v>
      </c>
      <c r="M87" s="8" t="s">
        <v>403</v>
      </c>
      <c r="N87" s="3" t="str">
        <f>IF(G87=3,x,"")</f>
        <v/>
      </c>
      <c r="O87" s="5" t="s">
        <v>404</v>
      </c>
    </row>
    <row r="88" spans="1:15" x14ac:dyDescent="0.3">
      <c r="A88" s="57"/>
      <c r="B88" s="5">
        <v>2</v>
      </c>
      <c r="C88" s="5" t="s">
        <v>126</v>
      </c>
      <c r="D88" s="32"/>
      <c r="E88" s="3" t="s">
        <v>405</v>
      </c>
      <c r="F88">
        <v>3</v>
      </c>
      <c r="G88" s="7">
        <v>1</v>
      </c>
      <c r="H88" s="45">
        <f t="shared" si="1"/>
        <v>3</v>
      </c>
      <c r="I88"/>
      <c r="J88"/>
      <c r="K88" s="46"/>
      <c r="M88" s="11" t="s">
        <v>406</v>
      </c>
      <c r="N88" s="3" t="str">
        <f>IF(G88=3,x,"")</f>
        <v/>
      </c>
      <c r="O88" s="5" t="s">
        <v>407</v>
      </c>
    </row>
    <row r="89" spans="1:15" x14ac:dyDescent="0.3">
      <c r="A89" s="57"/>
      <c r="B89" s="5">
        <v>3</v>
      </c>
      <c r="C89" s="3" t="s">
        <v>213</v>
      </c>
      <c r="D89" s="32"/>
      <c r="E89" s="3" t="s">
        <v>408</v>
      </c>
      <c r="F89">
        <v>0</v>
      </c>
      <c r="G89" s="7">
        <v>2</v>
      </c>
      <c r="H89" s="45">
        <f t="shared" si="1"/>
        <v>0</v>
      </c>
      <c r="I89"/>
      <c r="J89"/>
      <c r="K89" s="46"/>
      <c r="M89" s="11" t="s">
        <v>409</v>
      </c>
      <c r="N89" s="3" t="str">
        <f>IF(G89=3,x,"")</f>
        <v/>
      </c>
      <c r="O89" s="5" t="s">
        <v>410</v>
      </c>
    </row>
    <row r="90" spans="1:15" x14ac:dyDescent="0.3">
      <c r="A90" s="57"/>
      <c r="B90" s="5">
        <v>4</v>
      </c>
      <c r="C90" s="5" t="s">
        <v>126</v>
      </c>
      <c r="D90" s="32"/>
      <c r="E90" s="5" t="s">
        <v>411</v>
      </c>
      <c r="F90">
        <v>5</v>
      </c>
      <c r="G90" s="7">
        <v>3</v>
      </c>
      <c r="H90" s="45">
        <f t="shared" si="1"/>
        <v>15</v>
      </c>
      <c r="I90"/>
      <c r="J90"/>
      <c r="K90" s="46"/>
      <c r="M90" s="11" t="s">
        <v>412</v>
      </c>
      <c r="N90" s="3" t="s">
        <v>413</v>
      </c>
      <c r="O90" s="5" t="s">
        <v>414</v>
      </c>
    </row>
    <row r="91" spans="1:15" x14ac:dyDescent="0.3">
      <c r="A91" s="57"/>
      <c r="B91" s="5">
        <v>5</v>
      </c>
      <c r="C91" s="5" t="s">
        <v>126</v>
      </c>
      <c r="D91" s="32"/>
      <c r="E91" s="5" t="s">
        <v>415</v>
      </c>
      <c r="F91">
        <v>5</v>
      </c>
      <c r="G91" s="7">
        <v>1</v>
      </c>
      <c r="H91" s="45">
        <f t="shared" si="1"/>
        <v>5</v>
      </c>
      <c r="I91"/>
      <c r="J91"/>
      <c r="K91" s="46"/>
      <c r="M91" s="11" t="s">
        <v>416</v>
      </c>
      <c r="N91" s="3" t="str">
        <f>IF(G91=3,x,"")</f>
        <v/>
      </c>
      <c r="O91" s="5" t="s">
        <v>417</v>
      </c>
    </row>
    <row r="92" spans="1:15" ht="15" thickBot="1" x14ac:dyDescent="0.35">
      <c r="A92" s="58"/>
      <c r="B92" s="16">
        <v>6</v>
      </c>
      <c r="C92" s="18" t="s">
        <v>418</v>
      </c>
      <c r="D92" s="33"/>
      <c r="E92" s="18" t="s">
        <v>419</v>
      </c>
      <c r="F92">
        <v>0</v>
      </c>
      <c r="G92" s="21">
        <v>2</v>
      </c>
      <c r="H92" s="45">
        <f t="shared" si="1"/>
        <v>0</v>
      </c>
      <c r="I92"/>
      <c r="J92"/>
      <c r="K92" s="46"/>
      <c r="M92" s="23" t="s">
        <v>420</v>
      </c>
      <c r="N92" s="3" t="str">
        <f>IF(G92=3,x,"")</f>
        <v/>
      </c>
      <c r="O92" s="5" t="s">
        <v>421</v>
      </c>
    </row>
    <row r="93" spans="1:15" x14ac:dyDescent="0.3">
      <c r="A93" s="56" t="s">
        <v>441</v>
      </c>
      <c r="B93" s="24">
        <v>1</v>
      </c>
      <c r="C93" s="24" t="s">
        <v>126</v>
      </c>
      <c r="D93" s="34"/>
      <c r="E93" s="24" t="s">
        <v>422</v>
      </c>
      <c r="F93">
        <v>0</v>
      </c>
      <c r="G93" s="25">
        <v>1</v>
      </c>
      <c r="H93" s="45">
        <f t="shared" ref="H93:H98" si="2">G93*F93</f>
        <v>0</v>
      </c>
      <c r="I93" s="3">
        <f>SUM(H93:H98)</f>
        <v>33</v>
      </c>
      <c r="J93" s="3">
        <v>55</v>
      </c>
      <c r="K93" s="48">
        <f>INT((I93/J93)*100)</f>
        <v>60</v>
      </c>
      <c r="M93" s="8" t="s">
        <v>423</v>
      </c>
      <c r="N93" s="3" t="str">
        <f>IF(G93=3,x,"")</f>
        <v/>
      </c>
      <c r="O93" s="5" t="s">
        <v>424</v>
      </c>
    </row>
    <row r="94" spans="1:15" x14ac:dyDescent="0.3">
      <c r="A94" s="57"/>
      <c r="B94" s="5">
        <v>2</v>
      </c>
      <c r="C94" s="5" t="s">
        <v>126</v>
      </c>
      <c r="D94" s="32"/>
      <c r="E94" s="5" t="s">
        <v>425</v>
      </c>
      <c r="F94">
        <v>0</v>
      </c>
      <c r="G94" s="15">
        <v>3</v>
      </c>
      <c r="H94" s="45">
        <f t="shared" si="2"/>
        <v>0</v>
      </c>
      <c r="I94"/>
      <c r="M94" s="11" t="s">
        <v>426</v>
      </c>
      <c r="N94" s="3" t="e">
        <f>IF(G94=3,x,"")</f>
        <v>#NAME?</v>
      </c>
      <c r="O94" s="5" t="s">
        <v>427</v>
      </c>
    </row>
    <row r="95" spans="1:15" x14ac:dyDescent="0.3">
      <c r="A95" s="57"/>
      <c r="B95" s="5">
        <v>3</v>
      </c>
      <c r="C95" s="5" t="s">
        <v>126</v>
      </c>
      <c r="D95" s="32"/>
      <c r="E95" s="5" t="s">
        <v>428</v>
      </c>
      <c r="F95">
        <v>5</v>
      </c>
      <c r="G95" s="15">
        <v>2</v>
      </c>
      <c r="H95" s="45">
        <f t="shared" si="2"/>
        <v>10</v>
      </c>
      <c r="M95" s="11" t="s">
        <v>429</v>
      </c>
      <c r="N95" s="3" t="str">
        <f>IF(G95=3,x,"")</f>
        <v/>
      </c>
      <c r="O95" s="5" t="s">
        <v>430</v>
      </c>
    </row>
    <row r="96" spans="1:15" x14ac:dyDescent="0.3">
      <c r="A96" s="57"/>
      <c r="B96" s="5">
        <v>4</v>
      </c>
      <c r="C96" s="5" t="s">
        <v>126</v>
      </c>
      <c r="D96" s="32"/>
      <c r="E96" s="5" t="s">
        <v>431</v>
      </c>
      <c r="F96">
        <v>5</v>
      </c>
      <c r="G96" s="15">
        <v>2</v>
      </c>
      <c r="H96" s="45">
        <f t="shared" si="2"/>
        <v>10</v>
      </c>
      <c r="M96" s="11" t="s">
        <v>432</v>
      </c>
      <c r="N96" s="3" t="str">
        <f>IF(G96=3,x,"")</f>
        <v/>
      </c>
      <c r="O96" s="5" t="s">
        <v>433</v>
      </c>
    </row>
    <row r="97" spans="1:15" x14ac:dyDescent="0.3">
      <c r="A97" s="57"/>
      <c r="B97" s="5">
        <v>5</v>
      </c>
      <c r="C97" s="5" t="s">
        <v>126</v>
      </c>
      <c r="D97" s="32"/>
      <c r="E97" s="5" t="s">
        <v>434</v>
      </c>
      <c r="F97">
        <v>3</v>
      </c>
      <c r="G97" s="15">
        <v>1</v>
      </c>
      <c r="H97" s="45">
        <f t="shared" si="2"/>
        <v>3</v>
      </c>
      <c r="M97" s="11" t="s">
        <v>435</v>
      </c>
      <c r="N97" s="3" t="str">
        <f>IF(G97=3,x,"")</f>
        <v/>
      </c>
      <c r="O97" s="5" t="s">
        <v>436</v>
      </c>
    </row>
    <row r="98" spans="1:15" ht="15" thickBot="1" x14ac:dyDescent="0.35">
      <c r="A98" s="58"/>
      <c r="B98" s="16">
        <v>6</v>
      </c>
      <c r="C98" s="16" t="s">
        <v>126</v>
      </c>
      <c r="D98" s="33"/>
      <c r="E98" s="16" t="s">
        <v>437</v>
      </c>
      <c r="F98">
        <v>5</v>
      </c>
      <c r="G98" s="17">
        <v>2</v>
      </c>
      <c r="H98" s="45">
        <f t="shared" si="2"/>
        <v>10</v>
      </c>
      <c r="M98" s="23" t="s">
        <v>438</v>
      </c>
      <c r="N98" s="3" t="str">
        <f>IF(G98=3,x,"")</f>
        <v/>
      </c>
      <c r="O98" s="5" t="s">
        <v>439</v>
      </c>
    </row>
  </sheetData>
  <mergeCells count="7">
    <mergeCell ref="A87:A92"/>
    <mergeCell ref="A93:A98"/>
    <mergeCell ref="A3:A16"/>
    <mergeCell ref="A17:A27"/>
    <mergeCell ref="A28:A58"/>
    <mergeCell ref="A59:A70"/>
    <mergeCell ref="A71:A86"/>
  </mergeCells>
  <conditionalFormatting sqref="F1:F2 F99:F1048576">
    <cfRule type="cellIs" dxfId="0" priority="1" operator="equal">
      <formula>1</formula>
    </cfRule>
  </conditionalFormatting>
  <conditionalFormatting sqref="G3:G98">
    <cfRule type="colorScale" priority="10">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Input</vt:lpstr>
      <vt:lpstr>Calculations</vt:lpstr>
    </vt:vector>
  </TitlesOfParts>
  <Company>Eli Lilly and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Jo-Neil Starkie - Network</dc:creator>
  <cp:lastModifiedBy>Jo-Neil Starkie - Network</cp:lastModifiedBy>
  <dcterms:created xsi:type="dcterms:W3CDTF">2019-02-27T10:19:30Z</dcterms:created>
  <dcterms:modified xsi:type="dcterms:W3CDTF">2019-06-03T15:02:22Z</dcterms:modified>
</cp:coreProperties>
</file>